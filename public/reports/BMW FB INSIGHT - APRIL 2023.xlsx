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9_Content performance" sheetId="1" r:id="rId4"/>
  </sheets>
  <definedNames/>
  <calcPr/>
</workbook>
</file>

<file path=xl/sharedStrings.xml><?xml version="1.0" encoding="utf-8"?>
<sst xmlns="http://schemas.openxmlformats.org/spreadsheetml/2006/main" count="137" uniqueCount="64">
  <si>
    <t>sep=</t>
  </si>
  <si>
    <t>Network</t>
  </si>
  <si>
    <t>Page Name</t>
  </si>
  <si>
    <t>Published time (Asia/Jakarta)</t>
  </si>
  <si>
    <t>Post Type</t>
  </si>
  <si>
    <t>Placement</t>
  </si>
  <si>
    <t>Dark</t>
  </si>
  <si>
    <t>Promoted</t>
  </si>
  <si>
    <t>Reshare</t>
  </si>
  <si>
    <t>Post text</t>
  </si>
  <si>
    <t>Post URL</t>
  </si>
  <si>
    <t>Post ID</t>
  </si>
  <si>
    <t>Reach avg.</t>
  </si>
  <si>
    <t>Paid reach avg.</t>
  </si>
  <si>
    <t>Frequency</t>
  </si>
  <si>
    <t>Engagements</t>
  </si>
  <si>
    <t>Engagement rate (reach)</t>
  </si>
  <si>
    <t>Negative feedback</t>
  </si>
  <si>
    <t>FACEBOOK</t>
  </si>
  <si>
    <t>BMW Indonesia</t>
  </si>
  <si>
    <t>IMAGE</t>
  </si>
  <si>
    <t>Timeline</t>
  </si>
  <si>
    <t>No</t>
  </si>
  <si>
    <t>Pure elegance and luxurious cinematic experience collide in The All-New 7 Series. Coming soon.  Click the link on our bio to stay informed.  #TheNew7 #DrivenByJoy #BMWIndonesia #SheerDrivingPleasure</t>
  </si>
  <si>
    <t>https://www.facebook.com/195487454216/posts/10159684080314217/</t>
  </si>
  <si>
    <t>195487454216_10159684080314217</t>
  </si>
  <si>
    <t>1,01</t>
  </si>
  <si>
    <t>VIDEO</t>
  </si>
  <si>
    <t>As the month of blessings draws to an end, let us celebrate with joy and gratitude.  Eid Mubarak 1444 H from BMW Indonesia.</t>
  </si>
  <si>
    <t>https://www.facebook.com/195487454216/posts/10159671857549217/</t>
  </si>
  <si>
    <t>195487454216_10159671857549217</t>
  </si>
  <si>
    <t>-</t>
  </si>
  <si>
    <t>From a sporty coupe to an SUV, you can now own your dream BMW car in a flexible way.  Whatever models you prefer, BLISS is here to provide you with peace of mind.  Swipe until the last image to learn more.  For more information, contact BMW Contact Center at 1500 269, send direct messages to 0852 8888 6269 (WhatsApp), or visit bmw.co.id.</t>
  </si>
  <si>
    <t>https://www.facebook.com/195487454216/posts/10159666806484217/</t>
  </si>
  <si>
    <t>195487454216_10159666806484217</t>
  </si>
  <si>
    <t>1,04</t>
  </si>
  <si>
    <t>Long-distance driving can be challenging.  Drive home with peace of mind. #WhateverHappens BMW Roadside Assistance will ensure your sheer driving pleasure.  BMW Roadside Assistance:  021 - 5088 0206 or 0 800 1269 269  #DrivenByJoy #BMWIndonesia #SheerDrivingPleasure</t>
  </si>
  <si>
    <t>https://www.facebook.com/BMWIndonesia/photos/a.195492034216/10159664371849217/?type=3</t>
  </si>
  <si>
    <t>195487454216_10159664371849217</t>
  </si>
  <si>
    <t>1,02</t>
  </si>
  <si>
    <t>This is the moment that redefines progress and challenges electric convention for tomorrow and beyond. THE i7.  Register your interest through the link in our bio.   #TheNew7 #DrivenByJoy #BMWIndonesia #SheerDrivingPleasure</t>
  </si>
  <si>
    <t>https://www.facebook.com/195487454216/posts/10159655954199217/</t>
  </si>
  <si>
    <t>195487454216_10159655954199217</t>
  </si>
  <si>
    <t>We are proud to announce that The BMW iX has been selected as the Sustainable Mobility Partner for KTT ASEAN 2023 in Labuan Bajo.  Today, we delivered 13 premium electric cars to the Ministry of the State Secretariat (Kemensetneg), which will be used by esteemed leaders from 10 participating countries of KTT ASEAN on the 9th-11th of May 2023.   Find out more about The BMW iX at bmw.co.id or visit your nearest BMW Authorized Dealers.  #TheiX #BornElectric #DrivenByTheBest #BMWIndonesia</t>
  </si>
  <si>
    <t>https://www.facebook.com/195487454216/posts/10159650608769217/</t>
  </si>
  <si>
    <t>195487454216_10159650608769217</t>
  </si>
  <si>
    <t>1,25</t>
  </si>
  <si>
    <t>Let the joy and happiness of this day bring new beginning and a renewed sense of hope to you and your loved ones. Happy Easter.</t>
  </si>
  <si>
    <t>https://www.facebook.com/195487454216/posts/10159642826774217/</t>
  </si>
  <si>
    <t>195487454216_10159642826774217</t>
  </si>
  <si>
    <t>1,03</t>
  </si>
  <si>
    <t>Unleash your inner speedster with the new BMW Z4 Roadster.   With a sharper appearance, M Sport seats, and a mesh design BMW kidney grille in Aluminium satinised, this fleet guarantees an exhilarating driving experience.  Find out more at bmw.co.id and be the first to experience the thrill.  #DrivenByJoy #BMWIndonesia #SheerDrivingPleasure</t>
  </si>
  <si>
    <t>https://www.facebook.com/195487454216/posts/10159641620369217/</t>
  </si>
  <si>
    <t>195487454216_10159641620369217</t>
  </si>
  <si>
    <t>1,11</t>
  </si>
  <si>
    <t>Experience the perfect balance of sporty, elegant, and comfortable driving with The New 5 Touring.  Equipped with M Sport Pro package, The New 5 Touring is best known for, the boot. Not only is it spacious, it can carry up to 750kg.  Find out more at bmw.co.id or visit your nearest BMW Authorized Dealer.  #DrivenByJoy #BMWIndonesia #SheerDrivingPleasure</t>
  </si>
  <si>
    <t>https://www.facebook.com/195487454216/posts/10159639827439217/</t>
  </si>
  <si>
    <t>195487454216_10159639827439217</t>
  </si>
  <si>
    <t>Celebrate the holy month of Ramadan with a joyful driving experience.   Drive home THE 5, THE 3, THE 2, or THE X5 with ease and enjoy low monthly installments, complemented by Rp20mio worth of gasoline vouchers.   Don't miss out on this limited-time offer. T&amp;C apply.  Visit bmw.co.id or contact your nearest BMW Authorized Dealers for more information.  #DrivenByJoy #BMWIndonesia #SheerDrivingPleasure</t>
  </si>
  <si>
    <t>https://www.facebook.com/195487454216/posts/10159637865194217/</t>
  </si>
  <si>
    <t>195487454216_10159637865194217</t>
  </si>
  <si>
    <t>Bold. Progressive. Superior. That’s how we shape the future of luxury.  Click the link on our bio to stay informed.  #TheNew7 #DrivenByJoy #BMWIndonesia #SheerDrivingPleasure</t>
  </si>
  <si>
    <t>https://www.facebook.com/195487454216/posts/10159636748089217/</t>
  </si>
  <si>
    <t>195487454216_10159636748089217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</si>
</sst>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 xfId="0" applyFont="1" applyNumberFormat="1"/>
    <xf borderId="0" fillId="0" fontId="1" numFmtId="0" xfId="0" applyFont="1"/>
    <xf borderId="0" fillId="0" fontId="1" numFmtId="2" xfId="0" applyFont="1" applyNumberForma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95487454216/posts/10159684080314217/" TargetMode="External"/><Relationship Id="rId2" Type="http://schemas.openxmlformats.org/officeDocument/2006/relationships/hyperlink" Target="https://www.facebook.com/195487454216/posts/10159671857549217/" TargetMode="External"/><Relationship Id="rId3" Type="http://schemas.openxmlformats.org/officeDocument/2006/relationships/hyperlink" Target="https://www.facebook.com/195487454216/posts/10159666806484217/" TargetMode="External"/><Relationship Id="rId4" Type="http://schemas.openxmlformats.org/officeDocument/2006/relationships/hyperlink" Target="https://www.facebook.com/BMWIndonesia/photos/a.195492034216/10159664371849217/?type=3" TargetMode="External"/><Relationship Id="rId11" Type="http://schemas.openxmlformats.org/officeDocument/2006/relationships/hyperlink" Target="https://www.facebook.com/195487454216/posts/10159636748089217/" TargetMode="External"/><Relationship Id="rId10" Type="http://schemas.openxmlformats.org/officeDocument/2006/relationships/hyperlink" Target="https://www.facebook.com/195487454216/posts/10159637865194217/" TargetMode="External"/><Relationship Id="rId12" Type="http://schemas.openxmlformats.org/officeDocument/2006/relationships/drawing" Target="../drawings/drawing1.xml"/><Relationship Id="rId9" Type="http://schemas.openxmlformats.org/officeDocument/2006/relationships/hyperlink" Target="https://www.facebook.com/195487454216/posts/10159639827439217/" TargetMode="External"/><Relationship Id="rId5" Type="http://schemas.openxmlformats.org/officeDocument/2006/relationships/hyperlink" Target="https://www.facebook.com/195487454216/posts/10159655954199217/" TargetMode="External"/><Relationship Id="rId6" Type="http://schemas.openxmlformats.org/officeDocument/2006/relationships/hyperlink" Target="https://www.facebook.com/195487454216/posts/10159650608769217/" TargetMode="External"/><Relationship Id="rId7" Type="http://schemas.openxmlformats.org/officeDocument/2006/relationships/hyperlink" Target="https://www.facebook.com/195487454216/posts/10159642826774217/" TargetMode="External"/><Relationship Id="rId8" Type="http://schemas.openxmlformats.org/officeDocument/2006/relationships/hyperlink" Target="https://www.facebook.com/195487454216/posts/1015964162036921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c r="A3" s="1" t="s">
        <v>18</v>
      </c>
      <c r="B3" s="1" t="s">
        <v>19</v>
      </c>
      <c r="C3" s="2">
        <v>45044.81451388889</v>
      </c>
      <c r="D3" s="1" t="s">
        <v>20</v>
      </c>
      <c r="E3" s="1" t="s">
        <v>21</v>
      </c>
      <c r="F3" s="1" t="s">
        <v>22</v>
      </c>
      <c r="G3" s="1" t="s">
        <v>22</v>
      </c>
      <c r="H3" s="1" t="s">
        <v>22</v>
      </c>
      <c r="I3" s="1" t="s">
        <v>23</v>
      </c>
      <c r="J3" s="3" t="s">
        <v>24</v>
      </c>
      <c r="K3" s="1" t="s">
        <v>25</v>
      </c>
      <c r="L3" s="1">
        <v>3211.0</v>
      </c>
      <c r="M3" s="1">
        <v>0.0</v>
      </c>
      <c r="N3" s="1" t="s">
        <v>26</v>
      </c>
      <c r="O3" s="1">
        <v>31.0</v>
      </c>
      <c r="P3" s="1">
        <v>0.97</v>
      </c>
      <c r="Q3" s="1">
        <v>0.0</v>
      </c>
    </row>
    <row r="4">
      <c r="A4" s="1" t="s">
        <v>18</v>
      </c>
      <c r="B4" s="1" t="s">
        <v>19</v>
      </c>
      <c r="C4" s="2">
        <v>45038.396365740744</v>
      </c>
      <c r="D4" s="1" t="s">
        <v>27</v>
      </c>
      <c r="E4" s="1" t="s">
        <v>21</v>
      </c>
      <c r="F4" s="1" t="s">
        <v>22</v>
      </c>
      <c r="G4" s="1" t="s">
        <v>22</v>
      </c>
      <c r="H4" s="1" t="s">
        <v>22</v>
      </c>
      <c r="I4" s="1" t="s">
        <v>28</v>
      </c>
      <c r="J4" s="3" t="s">
        <v>29</v>
      </c>
      <c r="K4" s="1" t="s">
        <v>30</v>
      </c>
      <c r="L4" s="1">
        <v>2376.0</v>
      </c>
      <c r="M4" s="1">
        <v>0.0</v>
      </c>
      <c r="N4" s="1">
        <v>0.0</v>
      </c>
      <c r="O4" s="1">
        <v>32.0</v>
      </c>
      <c r="P4" s="1">
        <v>1.35</v>
      </c>
      <c r="Q4" s="1" t="s">
        <v>31</v>
      </c>
    </row>
    <row r="5">
      <c r="A5" s="1" t="s">
        <v>18</v>
      </c>
      <c r="B5" s="1" t="s">
        <v>19</v>
      </c>
      <c r="C5" s="2">
        <v>45035.66688657407</v>
      </c>
      <c r="D5" s="1" t="s">
        <v>20</v>
      </c>
      <c r="E5" s="1" t="s">
        <v>21</v>
      </c>
      <c r="F5" s="1" t="s">
        <v>22</v>
      </c>
      <c r="G5" s="1" t="s">
        <v>22</v>
      </c>
      <c r="H5" s="1" t="s">
        <v>22</v>
      </c>
      <c r="I5" s="1" t="s">
        <v>32</v>
      </c>
      <c r="J5" s="3" t="s">
        <v>33</v>
      </c>
      <c r="K5" s="1" t="s">
        <v>34</v>
      </c>
      <c r="L5" s="1">
        <v>3126.0</v>
      </c>
      <c r="M5" s="1">
        <v>0.0</v>
      </c>
      <c r="N5" s="1" t="s">
        <v>35</v>
      </c>
      <c r="O5" s="1">
        <v>17.0</v>
      </c>
      <c r="P5" s="1">
        <v>0.54</v>
      </c>
      <c r="Q5" s="1">
        <v>0.0</v>
      </c>
    </row>
    <row r="6">
      <c r="A6" s="1" t="s">
        <v>18</v>
      </c>
      <c r="B6" s="1" t="s">
        <v>19</v>
      </c>
      <c r="C6" s="2">
        <v>45034.66675925926</v>
      </c>
      <c r="D6" s="1" t="s">
        <v>20</v>
      </c>
      <c r="E6" s="1" t="s">
        <v>21</v>
      </c>
      <c r="F6" s="1" t="s">
        <v>22</v>
      </c>
      <c r="G6" s="1" t="s">
        <v>22</v>
      </c>
      <c r="H6" s="1" t="s">
        <v>22</v>
      </c>
      <c r="I6" s="1" t="s">
        <v>36</v>
      </c>
      <c r="J6" s="3" t="s">
        <v>37</v>
      </c>
      <c r="K6" s="1" t="s">
        <v>38</v>
      </c>
      <c r="L6" s="1">
        <v>4724.0</v>
      </c>
      <c r="M6" s="1">
        <v>0.0</v>
      </c>
      <c r="N6" s="1" t="s">
        <v>39</v>
      </c>
      <c r="O6" s="1">
        <v>31.0</v>
      </c>
      <c r="P6" s="1">
        <v>0.66</v>
      </c>
      <c r="Q6" s="1">
        <v>0.0</v>
      </c>
    </row>
    <row r="7">
      <c r="A7" s="1" t="s">
        <v>18</v>
      </c>
      <c r="B7" s="1" t="s">
        <v>19</v>
      </c>
      <c r="C7" s="2">
        <v>45031.745034722226</v>
      </c>
      <c r="D7" s="1" t="s">
        <v>20</v>
      </c>
      <c r="E7" s="1" t="s">
        <v>21</v>
      </c>
      <c r="F7" s="1" t="s">
        <v>22</v>
      </c>
      <c r="G7" s="1" t="s">
        <v>22</v>
      </c>
      <c r="H7" s="1" t="s">
        <v>22</v>
      </c>
      <c r="I7" s="1" t="s">
        <v>40</v>
      </c>
      <c r="J7" s="3" t="s">
        <v>41</v>
      </c>
      <c r="K7" s="1" t="s">
        <v>42</v>
      </c>
      <c r="L7" s="1">
        <v>4663.0</v>
      </c>
      <c r="M7" s="1">
        <v>0.0</v>
      </c>
      <c r="N7" s="1">
        <v>1.0</v>
      </c>
      <c r="O7" s="1">
        <v>61.0</v>
      </c>
      <c r="P7" s="1">
        <v>1.31</v>
      </c>
      <c r="Q7" s="1">
        <v>0.0</v>
      </c>
    </row>
    <row r="8">
      <c r="A8" s="1" t="s">
        <v>18</v>
      </c>
      <c r="B8" s="1" t="s">
        <v>19</v>
      </c>
      <c r="C8" s="2">
        <v>45029.7096875</v>
      </c>
      <c r="D8" s="1" t="s">
        <v>20</v>
      </c>
      <c r="E8" s="1" t="s">
        <v>21</v>
      </c>
      <c r="F8" s="1" t="s">
        <v>22</v>
      </c>
      <c r="G8" s="1" t="s">
        <v>22</v>
      </c>
      <c r="H8" s="1" t="s">
        <v>22</v>
      </c>
      <c r="I8" s="1" t="s">
        <v>43</v>
      </c>
      <c r="J8" s="3" t="s">
        <v>44</v>
      </c>
      <c r="K8" s="1" t="s">
        <v>45</v>
      </c>
      <c r="L8" s="1">
        <v>3032.0</v>
      </c>
      <c r="M8" s="1">
        <v>0.0</v>
      </c>
      <c r="N8" s="1" t="s">
        <v>46</v>
      </c>
      <c r="O8" s="1">
        <v>43.0</v>
      </c>
      <c r="P8" s="1">
        <v>1.42</v>
      </c>
      <c r="Q8" s="1">
        <v>0.0</v>
      </c>
    </row>
    <row r="9">
      <c r="A9" s="1" t="s">
        <v>18</v>
      </c>
      <c r="B9" s="1" t="s">
        <v>19</v>
      </c>
      <c r="C9" s="2">
        <v>45025.34662037037</v>
      </c>
      <c r="D9" s="1" t="s">
        <v>20</v>
      </c>
      <c r="E9" s="1" t="s">
        <v>21</v>
      </c>
      <c r="F9" s="1" t="s">
        <v>22</v>
      </c>
      <c r="G9" s="1" t="s">
        <v>22</v>
      </c>
      <c r="H9" s="1" t="s">
        <v>22</v>
      </c>
      <c r="I9" s="1" t="s">
        <v>47</v>
      </c>
      <c r="J9" s="3" t="s">
        <v>48</v>
      </c>
      <c r="K9" s="1" t="s">
        <v>49</v>
      </c>
      <c r="L9" s="1">
        <v>4243.0</v>
      </c>
      <c r="M9" s="1">
        <v>0.0</v>
      </c>
      <c r="N9" s="1" t="s">
        <v>50</v>
      </c>
      <c r="O9" s="1">
        <v>57.0</v>
      </c>
      <c r="P9" s="1">
        <v>1.34</v>
      </c>
      <c r="Q9" s="1">
        <v>1.0</v>
      </c>
    </row>
    <row r="10">
      <c r="A10" s="1" t="s">
        <v>18</v>
      </c>
      <c r="B10" s="1" t="s">
        <v>19</v>
      </c>
      <c r="C10" s="2">
        <v>45024.70576388889</v>
      </c>
      <c r="D10" s="1" t="s">
        <v>20</v>
      </c>
      <c r="E10" s="1" t="s">
        <v>21</v>
      </c>
      <c r="F10" s="1" t="s">
        <v>22</v>
      </c>
      <c r="G10" s="1" t="s">
        <v>22</v>
      </c>
      <c r="H10" s="1" t="s">
        <v>22</v>
      </c>
      <c r="I10" s="1" t="s">
        <v>51</v>
      </c>
      <c r="J10" s="3" t="s">
        <v>52</v>
      </c>
      <c r="K10" s="1" t="s">
        <v>53</v>
      </c>
      <c r="L10" s="1">
        <v>11449.0</v>
      </c>
      <c r="M10" s="1">
        <v>0.0</v>
      </c>
      <c r="N10" s="1" t="s">
        <v>54</v>
      </c>
      <c r="O10" s="1">
        <v>184.0</v>
      </c>
      <c r="P10" s="1">
        <v>1.61</v>
      </c>
      <c r="Q10" s="1">
        <v>4.0</v>
      </c>
    </row>
    <row r="11">
      <c r="A11" s="1" t="s">
        <v>18</v>
      </c>
      <c r="B11" s="1" t="s">
        <v>19</v>
      </c>
      <c r="C11" s="2">
        <v>45023.70613425926</v>
      </c>
      <c r="D11" s="1" t="s">
        <v>20</v>
      </c>
      <c r="E11" s="1" t="s">
        <v>21</v>
      </c>
      <c r="F11" s="1" t="s">
        <v>22</v>
      </c>
      <c r="G11" s="1" t="s">
        <v>22</v>
      </c>
      <c r="H11" s="1" t="s">
        <v>22</v>
      </c>
      <c r="I11" s="1" t="s">
        <v>55</v>
      </c>
      <c r="J11" s="3" t="s">
        <v>56</v>
      </c>
      <c r="K11" s="1" t="s">
        <v>57</v>
      </c>
      <c r="L11" s="1">
        <v>5451.0</v>
      </c>
      <c r="M11" s="1">
        <v>0.0</v>
      </c>
      <c r="N11" s="1" t="s">
        <v>26</v>
      </c>
      <c r="O11" s="1">
        <v>62.0</v>
      </c>
      <c r="P11" s="1">
        <v>1.14</v>
      </c>
      <c r="Q11" s="1">
        <v>0.0</v>
      </c>
    </row>
    <row r="12">
      <c r="A12" s="1" t="s">
        <v>18</v>
      </c>
      <c r="B12" s="1" t="s">
        <v>19</v>
      </c>
      <c r="C12" s="2">
        <v>45022.50212962963</v>
      </c>
      <c r="D12" s="1" t="s">
        <v>20</v>
      </c>
      <c r="E12" s="1" t="s">
        <v>21</v>
      </c>
      <c r="F12" s="1" t="s">
        <v>22</v>
      </c>
      <c r="G12" s="1" t="s">
        <v>22</v>
      </c>
      <c r="H12" s="1" t="s">
        <v>22</v>
      </c>
      <c r="I12" s="1" t="s">
        <v>58</v>
      </c>
      <c r="J12" s="3" t="s">
        <v>59</v>
      </c>
      <c r="K12" s="1" t="s">
        <v>60</v>
      </c>
      <c r="L12" s="1">
        <v>3990.0</v>
      </c>
      <c r="M12" s="1">
        <v>0.0</v>
      </c>
      <c r="N12" s="1">
        <v>1.0</v>
      </c>
      <c r="O12" s="1">
        <v>45.0</v>
      </c>
      <c r="P12" s="1">
        <v>1.13</v>
      </c>
      <c r="Q12" s="1">
        <v>2.0</v>
      </c>
    </row>
    <row r="13">
      <c r="A13" s="1" t="s">
        <v>18</v>
      </c>
      <c r="B13" s="1" t="s">
        <v>19</v>
      </c>
      <c r="C13" s="2">
        <v>45021.806909722225</v>
      </c>
      <c r="D13" s="1" t="s">
        <v>20</v>
      </c>
      <c r="E13" s="1" t="s">
        <v>21</v>
      </c>
      <c r="F13" s="1" t="s">
        <v>22</v>
      </c>
      <c r="G13" s="1" t="s">
        <v>22</v>
      </c>
      <c r="H13" s="1" t="s">
        <v>22</v>
      </c>
      <c r="I13" s="1" t="s">
        <v>61</v>
      </c>
      <c r="J13" s="3" t="s">
        <v>62</v>
      </c>
      <c r="K13" s="1" t="s">
        <v>63</v>
      </c>
      <c r="L13" s="1">
        <v>6289.0</v>
      </c>
      <c r="M13" s="1">
        <v>0.0</v>
      </c>
      <c r="N13" s="1" t="s">
        <v>39</v>
      </c>
      <c r="O13" s="1">
        <v>137.0</v>
      </c>
      <c r="P13" s="1">
        <v>2.18</v>
      </c>
      <c r="Q13" s="1">
        <v>1.0</v>
      </c>
    </row>
    <row r="14">
      <c r="L14" s="4">
        <f>AVERAGE(L3:L13)</f>
        <v>4777.636364</v>
      </c>
      <c r="O14" s="5">
        <f>SUM(O3:O13)</f>
        <v>700</v>
      </c>
      <c r="P14" s="6">
        <f>AVERAGE(P3:P13)</f>
        <v>1.240909091</v>
      </c>
    </row>
    <row r="16">
      <c r="F16" s="7">
        <f>154240/154174-1</f>
        <v>0.000428087745</v>
      </c>
    </row>
    <row r="17">
      <c r="F17" s="7">
        <f>4778/4725-1</f>
        <v>0.01121693122</v>
      </c>
    </row>
    <row r="18">
      <c r="F18" s="5">
        <f>1.45-1.24</f>
        <v>0.21</v>
      </c>
    </row>
    <row r="19">
      <c r="F19" s="7">
        <f>700/937-1</f>
        <v>-0.2529348986</v>
      </c>
    </row>
  </sheetData>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s>
  <drawing r:id="rId12"/>
</worksheet>
</file>