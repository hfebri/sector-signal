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9_Content performance" sheetId="1" r:id="rId4"/>
    <sheet state="visible" name="Sheet1" sheetId="2" r:id="rId5"/>
  </sheets>
  <definedNames>
    <definedName hidden="1" localSheetId="0" name="_xlnm._FilterDatabase">'09_Content performance'!$A$1:$Q$27</definedName>
  </definedNames>
  <calcPr/>
</workbook>
</file>

<file path=xl/sharedStrings.xml><?xml version="1.0" encoding="utf-8"?>
<sst xmlns="http://schemas.openxmlformats.org/spreadsheetml/2006/main" count="320" uniqueCount="134">
  <si>
    <t>sep=</t>
  </si>
  <si>
    <t>Network</t>
  </si>
  <si>
    <t>Page Name</t>
  </si>
  <si>
    <t>Published time (Asia/Jakarta)</t>
  </si>
  <si>
    <t>Post Type</t>
  </si>
  <si>
    <t>Placement</t>
  </si>
  <si>
    <t>Dark</t>
  </si>
  <si>
    <t>Promoted</t>
  </si>
  <si>
    <t>Reshare</t>
  </si>
  <si>
    <t>Post text</t>
  </si>
  <si>
    <t>Post URL</t>
  </si>
  <si>
    <t>Post ID</t>
  </si>
  <si>
    <t>Reach avg.</t>
  </si>
  <si>
    <t>Paid reach avg.</t>
  </si>
  <si>
    <t>Frequency</t>
  </si>
  <si>
    <t>Engagements</t>
  </si>
  <si>
    <t>Engagement rate (reach)</t>
  </si>
  <si>
    <t>Negative feedback</t>
  </si>
  <si>
    <t>FACEBOOK</t>
  </si>
  <si>
    <t>BMW Indonesia</t>
  </si>
  <si>
    <t>LINK</t>
  </si>
  <si>
    <t>Timeline</t>
  </si>
  <si>
    <t>Yes</t>
  </si>
  <si>
    <t>No</t>
  </si>
  <si>
    <t>Drive on with unparalleled precision with a strong impression.</t>
  </si>
  <si>
    <t>https://www.facebook.com/643003717853885/posts/655985086555748</t>
  </si>
  <si>
    <t>195487454216_655985086555748</t>
  </si>
  <si>
    <t>1,18</t>
  </si>
  <si>
    <t>VIDEO</t>
  </si>
  <si>
    <t>Time for celebration, reflection, and spreading joy is here. Wishing you a joyful Eid al-Adha filled with love and abundant blessings.</t>
  </si>
  <si>
    <t>https://www.facebook.com/643003717853885/posts/655430233277900</t>
  </si>
  <si>
    <t>195487454216_655430233277900</t>
  </si>
  <si>
    <t>1,35</t>
  </si>
  <si>
    <t>-</t>
  </si>
  <si>
    <t>IMAGE</t>
  </si>
  <si>
    <t>BMW Indonesia and BMW Eurokars proudly introduced The BMW M4 Competition Convertible M xDrive at M Fest at Pusdik Lantas Polri, Alam Sutera, today.  Experience the exhilarating performance and expressive design of this high-performance vehicle, while enjoying the freedom of the convertible roof.  Witness and experience its power firsthand only at M Fest, from 23-24 June 2023.  For more information, contact @bmw.eurokars.</t>
  </si>
  <si>
    <t>https://www.facebook.com/643003717853885/posts/652049983615925</t>
  </si>
  <si>
    <t>195487454216_652049983615925</t>
  </si>
  <si>
    <t>1,11</t>
  </si>
  <si>
    <t>1,42</t>
  </si>
  <si>
    <t>Drive home THE X5 with a deal too good to miss out on!</t>
  </si>
  <si>
    <t>https://www.facebook.com/643003717853885/posts/650907820396808</t>
  </si>
  <si>
    <t>195487454216_650907820396808</t>
  </si>
  <si>
    <t>1,24</t>
  </si>
  <si>
    <t>1,16</t>
  </si>
  <si>
    <t>https://www.facebook.com/643003717853885/posts/650907430396847</t>
  </si>
  <si>
    <t>195487454216_650907430396847</t>
  </si>
  <si>
    <t>1,51</t>
  </si>
  <si>
    <t>Take home THE 5 with the best offer in the market.</t>
  </si>
  <si>
    <t>https://www.facebook.com/643003717853885/posts/650906547063602</t>
  </si>
  <si>
    <t>195487454216_650906547063602</t>
  </si>
  <si>
    <t>1,44</t>
  </si>
  <si>
    <t>1,04</t>
  </si>
  <si>
    <t>https://www.facebook.com/643003717853885/posts/650905860397004</t>
  </si>
  <si>
    <t>195487454216_650905860397004</t>
  </si>
  <si>
    <t>1,2</t>
  </si>
  <si>
    <t>2,5</t>
  </si>
  <si>
    <t>https://www.facebook.com/643003717853885/posts/650905850397005</t>
  </si>
  <si>
    <t>195487454216_650905850397005</t>
  </si>
  <si>
    <t>1,53</t>
  </si>
  <si>
    <t>1,22</t>
  </si>
  <si>
    <t>https://www.facebook.com/643003717853885/posts/650775333743390</t>
  </si>
  <si>
    <t>195487454216_650775333743390</t>
  </si>
  <si>
    <t>1,05</t>
  </si>
  <si>
    <t>1,79</t>
  </si>
  <si>
    <t>https://www.facebook.com/643003717853885/posts/650773390410251</t>
  </si>
  <si>
    <t>195487454216_650773390410251</t>
  </si>
  <si>
    <t>1,06</t>
  </si>
  <si>
    <t>1,7</t>
  </si>
  <si>
    <t>There are times when you have to put your dream on hold. But we’re telling you, now you can still have your things in order and get your dream BMW at the same time.  This is what BLISS by BMW is about. A smart choice for you to lease your BMW with a low upfront commitment, so you can focus on Sheer Driving Pleasure without compromising your priorities.  For more information about the program, contact BMW Contact Center at 1500 269 or send direct messages to 0852 8888 6269 (WhatsApp).  BLISS by BMW. A Smart option to own a BMW.</t>
  </si>
  <si>
    <t>https://www.facebook.com/643003717853885/posts/650393470448243</t>
  </si>
  <si>
    <t>195487454216_650393470448243</t>
  </si>
  <si>
    <t>1,02</t>
  </si>
  <si>
    <t>1,12</t>
  </si>
  <si>
    <t>Take the first step towards the future with the all-electric BMW family, featuring the revolutionary BMW i7 and iX. Experience the perfect blend of engineering, innovation, and aesthetics to inspire joy in every journey.   Visit bmw.co.id or contact your nearest BMW Authorized Dealers to book now.</t>
  </si>
  <si>
    <t>https://www.facebook.com/643003717853885/posts/648788267275430</t>
  </si>
  <si>
    <t>195487454216_648788267275430</t>
  </si>
  <si>
    <t>1,5</t>
  </si>
  <si>
    <t>Experience the electrifying future of driving with the BMW iX. This innovative SUV combines sustainability, performance, and cutting-edge technology for your captivating drive.   Find out more at bmw.co.id or visit your nearest BMW i Authorized Dealers to test drive.</t>
  </si>
  <si>
    <t>https://www.facebook.com/643003717853885/posts/648204614000462</t>
  </si>
  <si>
    <t>195487454216_648204614000462</t>
  </si>
  <si>
    <t>1,03</t>
  </si>
  <si>
    <t>0,71</t>
  </si>
  <si>
    <t>Who says electric cars are only for city strolls? Now you can rev up your adventures with the BMW iX, the most aerodynamic SUV built by BMW which was selected as the Official Sustainable Mobility Partner for the ASEAN Summit 2023 in Labuan Bajo.   With an electric range of up to 420 km and a charging time (10-80%, DC 150 kW) that will only take you 31 minutes, this car is designed to take you on electrifying journeys.   Find out more at bmw.co.id or visit your nearest BMW i Authorized Dealers.</t>
  </si>
  <si>
    <t>https://www.facebook.com/643003717853885/posts/647498720737718</t>
  </si>
  <si>
    <t>195487454216_647498720737718</t>
  </si>
  <si>
    <t>https://www.facebook.com/photo.php?fbid=644867127667544&amp;set=a.643003607853896&amp;type=3</t>
  </si>
  <si>
    <t>195487454216_644867127667544</t>
  </si>
  <si>
    <t>1,14</t>
  </si>
  <si>
    <t>0,02</t>
  </si>
  <si>
    <t>THE NEW 7. The Future of Luxury.  From its captivating presence, to the cutting-edge technology that awaits inside, immerse yourself in the innovative driving pleasure.  THE NEW 7 is available with a variant of BMW 735i M Sport, offered with 5 years Warranty and 5 years Service Inclusive Plus.  Contact BMW Authorized Dealers for more information or to book.  #TheFutureofLuxury #TheNew7</t>
  </si>
  <si>
    <t>https://www.facebook.com/643003717853885/posts/644867214334202</t>
  </si>
  <si>
    <t>195487454216_644867214334202</t>
  </si>
  <si>
    <t>1,09</t>
  </si>
  <si>
    <t>The future of all-electric luxury, THE i7, has arrived in Indonesia.   Step into the executive sedan, effortlessly travel far and fast with electrifying driving pleasure.   THE i7 comes with 8 years Battery Waranty/160,000 km (whichever comes first) and 6 years unlimited Service Inclusive Plus.  Contact BMW Authorized Dealers for more information and booking.  #TheFutureofLuxury #Thei7</t>
  </si>
  <si>
    <t>https://www.facebook.com/643003717853885/posts/644796837674573</t>
  </si>
  <si>
    <t>195487454216_644796837674573</t>
  </si>
  <si>
    <t>1,28</t>
  </si>
  <si>
    <t>0,84</t>
  </si>
  <si>
    <t>Our fellow guests delve into a special tour of THE NEW 7 and THE i7 at our exclusive launch event.   Click the link in our bio to witness the future of luxury and innovation.  #TheFutureofLuxury #TheNew7 #Thei7</t>
  </si>
  <si>
    <t>https://www.facebook.com/643003717853885/posts/644312664389657</t>
  </si>
  <si>
    <t>195487454216_644312664389657</t>
  </si>
  <si>
    <t>1,13</t>
  </si>
  <si>
    <t>0,98</t>
  </si>
  <si>
    <t>After successfully providing 13 units of the BMW iX for the 42nd ASEAN Summit in Labuan Bajo last month, we are excited to announce our upcoming collaboration as the Sustainable Mobility Partner for the 43rd ASEAN Summit Plus 2023 in Jakarta.  We proudly handed over 36 units of the BMW i7 xDrive60 Gran Lusso to the Ministry of the State Secretariat (@kemensetneg.ri). These luxurious electric cars will be utilized by esteemed leaders from all participating countries during the event on September 5-7.  With its modern, luxurious design and cutting-edge technology, the BMW i7 offers unparalleled comfort, transforming every journey into an executive lounge experience.  To learn more about THE i7, click the link in our bio or contact your nearest BMW Authorized Dealers.  #THEi7 #BornElectric #BMWIndonesia #DrivenByJoy #TheFutureofLuxury</t>
  </si>
  <si>
    <t>https://www.facebook.com/195487454216/posts/10159764040094217/</t>
  </si>
  <si>
    <t>195487454216_10159764040094217</t>
  </si>
  <si>
    <t>1,19</t>
  </si>
  <si>
    <t>1,59</t>
  </si>
  <si>
    <t>BMW Indonesia and Eurokars Group mark a significant milestone with the groundbreaking ceremony for the newest showroom, BMW MINI Eurokars PIK 2. This upcoming facility sets a new standard for the BMW and MINI customer journey in Jakarta, offering seamless purchasing experiences both in-person and online.  Anticipate a warm welcome at BMW MINI Eurokars PIK 2 in 2024. For the time being, visit https://bmw-eurokars.co.id for more information.</t>
  </si>
  <si>
    <t>https://www.facebook.com/195487454216/posts/10159763970184217/</t>
  </si>
  <si>
    <t>195487454216_10159763970184217</t>
  </si>
  <si>
    <t>1,68</t>
  </si>
  <si>
    <t>Embark on a captivating journey with The NEW 7 and i7 models that redefine luxury. Experience the groundbreaking innovation, exquisite design, and unmatched comfort.    Discover the joy that awaits you at the link in the bio.  #TheNew7 #DrivenByJoy #BMWIndonesia #SheerDrivingPleasure #TheFutureofLuxury</t>
  </si>
  <si>
    <t>https://www.facebook.com/195487454216/posts/10159763590004217/</t>
  </si>
  <si>
    <t>195487454216_10159763590004217</t>
  </si>
  <si>
    <t>1,78</t>
  </si>
  <si>
    <t>Introducing THE NEW 7 Series, the pinnacle of BMW's luxury model range which offered in 2 variants; BMW i7 xDrive60 Gran Lusso and BMW 735i M Sport.   Indulge in unmatched driving pleasure, unrivaled long-distance comfort, and an extraordinary digital journey, all combining elegance, dynamic excellence, and innovation.  Alongside the launch, we also proud to announce that BMW Production 2 in Sunter has commenced the assembly of THE NEW 7 Series. We ensured to maintain a high-quality standards for all BMW vehicles made in Indonesia, matching global excellence.  Contact your nearest BMW Authorized Dealers or click the link in our bio for more info.  #TheNew7 #DrivenByJoy #BMWIndonesia #SheerDrivingPleasure #TheFutureofLuxury</t>
  </si>
  <si>
    <t>https://www.facebook.com/195487454216/posts/10159762188109217/</t>
  </si>
  <si>
    <t>195487454216_10159762188109217</t>
  </si>
  <si>
    <t>1,84</t>
  </si>
  <si>
    <t>The BNI Java Jazz Festival 2023 concludes today! Don't forget to swing by BMW Indonesia's booth in the lobby area of Gedung Pusat Niaga JIEXPO and get an exclusive glimpse of THE iX.   But that's not all, you can also take advantage of exciting promos, including a low installment starting from IDR 9.9 Mio and a travel voucher worth IDR 20 Mio. Make sure you don't miss out!  #BMWIndonesia #JJF2023 #BMWJJF2023 #BNIJJF2023 #JavaJazzFestival</t>
  </si>
  <si>
    <t>https://www.facebook.com/195487454216/posts/10159755271114217/</t>
  </si>
  <si>
    <t>195487454216_10159755271114217</t>
  </si>
  <si>
    <t>1,07</t>
  </si>
  <si>
    <t>0,59</t>
  </si>
  <si>
    <t>On this auspicious Vesak Day, let us unite in prayer for lasting peace and harmony to embrace all of humanity. May the boundless joy and serenity of this occasion guide our hearts.   #BMWIndonesia</t>
  </si>
  <si>
    <t>https://www.facebook.com/195487454216/posts/10159754795514217/</t>
  </si>
  <si>
    <t>195487454216_10159754795514217</t>
  </si>
  <si>
    <t>1,92</t>
  </si>
  <si>
    <t>The highly anticipated BNI Java Jazz Festival 2023 is finally here, and BMW Indonesia is thrilled to be the official vehicle partner.  Through the latest premium electric car BMW iX xDrive40 as well as the luxury sedans BMW 520i M Sport and BMW 730 Li, BMW Indonesia brings a whole new level of Sheer Driving Pleasure experience to the world-class musicians performining on the festival.  Get up close and personal with THE iX at BMW Indonesia's booth in the lobby area of Gedung Pusat Niaga JIEXPO and enjoy various exciting promos, such as a low installment starting from IDR 9.9 Mio per month, also travel voucher worth IDR 20 Mio.  #BMWIndonesia #JJF2023 #BMWJJF2023 #BNIJJF2023 #JavaJazzFestival</t>
  </si>
  <si>
    <t>https://www.facebook.com/195487454216/posts/10159752156539217/</t>
  </si>
  <si>
    <t>195487454216_10159752156539217</t>
  </si>
  <si>
    <t>0,87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</si>
</sst>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2" xfId="0" applyFont="1" applyNumberFormat="1"/>
    <xf borderId="0" fillId="0" fontId="1" numFmtId="1" xfId="0" applyFont="1" applyNumberFormat="1"/>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facebook.com/195487454216/posts/10159763970184217/" TargetMode="External"/><Relationship Id="rId22" Type="http://schemas.openxmlformats.org/officeDocument/2006/relationships/hyperlink" Target="https://www.facebook.com/195487454216/posts/10159762188109217/" TargetMode="External"/><Relationship Id="rId21" Type="http://schemas.openxmlformats.org/officeDocument/2006/relationships/hyperlink" Target="https://www.facebook.com/195487454216/posts/10159763590004217/" TargetMode="External"/><Relationship Id="rId24" Type="http://schemas.openxmlformats.org/officeDocument/2006/relationships/hyperlink" Target="https://www.facebook.com/195487454216/posts/10159754795514217/" TargetMode="External"/><Relationship Id="rId23" Type="http://schemas.openxmlformats.org/officeDocument/2006/relationships/hyperlink" Target="https://www.facebook.com/195487454216/posts/10159755271114217/" TargetMode="External"/><Relationship Id="rId1" Type="http://schemas.openxmlformats.org/officeDocument/2006/relationships/hyperlink" Target="https://www.facebook.com/643003717853885/posts/655985086555748" TargetMode="External"/><Relationship Id="rId2" Type="http://schemas.openxmlformats.org/officeDocument/2006/relationships/hyperlink" Target="https://www.facebook.com/643003717853885/posts/655430233277900" TargetMode="External"/><Relationship Id="rId3" Type="http://schemas.openxmlformats.org/officeDocument/2006/relationships/hyperlink" Target="https://www.facebook.com/643003717853885/posts/652049983615925" TargetMode="External"/><Relationship Id="rId4" Type="http://schemas.openxmlformats.org/officeDocument/2006/relationships/hyperlink" Target="https://www.facebook.com/643003717853885/posts/650907820396808" TargetMode="External"/><Relationship Id="rId9" Type="http://schemas.openxmlformats.org/officeDocument/2006/relationships/hyperlink" Target="https://www.facebook.com/643003717853885/posts/650775333743390" TargetMode="External"/><Relationship Id="rId26" Type="http://schemas.openxmlformats.org/officeDocument/2006/relationships/drawing" Target="../drawings/drawing1.xml"/><Relationship Id="rId25" Type="http://schemas.openxmlformats.org/officeDocument/2006/relationships/hyperlink" Target="https://www.facebook.com/195487454216/posts/10159752156539217/" TargetMode="External"/><Relationship Id="rId5" Type="http://schemas.openxmlformats.org/officeDocument/2006/relationships/hyperlink" Target="https://www.facebook.com/643003717853885/posts/650907430396847" TargetMode="External"/><Relationship Id="rId6" Type="http://schemas.openxmlformats.org/officeDocument/2006/relationships/hyperlink" Target="https://www.facebook.com/643003717853885/posts/650906547063602" TargetMode="External"/><Relationship Id="rId7" Type="http://schemas.openxmlformats.org/officeDocument/2006/relationships/hyperlink" Target="https://www.facebook.com/643003717853885/posts/650905860397004" TargetMode="External"/><Relationship Id="rId8" Type="http://schemas.openxmlformats.org/officeDocument/2006/relationships/hyperlink" Target="https://www.facebook.com/643003717853885/posts/650905850397005" TargetMode="External"/><Relationship Id="rId11" Type="http://schemas.openxmlformats.org/officeDocument/2006/relationships/hyperlink" Target="https://www.facebook.com/643003717853885/posts/650393470448243" TargetMode="External"/><Relationship Id="rId10" Type="http://schemas.openxmlformats.org/officeDocument/2006/relationships/hyperlink" Target="https://www.facebook.com/643003717853885/posts/650773390410251" TargetMode="External"/><Relationship Id="rId13" Type="http://schemas.openxmlformats.org/officeDocument/2006/relationships/hyperlink" Target="https://www.facebook.com/643003717853885/posts/648204614000462" TargetMode="External"/><Relationship Id="rId12" Type="http://schemas.openxmlformats.org/officeDocument/2006/relationships/hyperlink" Target="https://www.facebook.com/643003717853885/posts/648788267275430" TargetMode="External"/><Relationship Id="rId15" Type="http://schemas.openxmlformats.org/officeDocument/2006/relationships/hyperlink" Target="https://www.facebook.com/photo.php?fbid=644867127667544&amp;set=a.643003607853896&amp;type=3" TargetMode="External"/><Relationship Id="rId14" Type="http://schemas.openxmlformats.org/officeDocument/2006/relationships/hyperlink" Target="https://www.facebook.com/643003717853885/posts/647498720737718" TargetMode="External"/><Relationship Id="rId17" Type="http://schemas.openxmlformats.org/officeDocument/2006/relationships/hyperlink" Target="https://www.facebook.com/643003717853885/posts/644796837674573" TargetMode="External"/><Relationship Id="rId16" Type="http://schemas.openxmlformats.org/officeDocument/2006/relationships/hyperlink" Target="https://www.facebook.com/643003717853885/posts/644867214334202" TargetMode="External"/><Relationship Id="rId19" Type="http://schemas.openxmlformats.org/officeDocument/2006/relationships/hyperlink" Target="https://www.facebook.com/195487454216/posts/10159764040094217/" TargetMode="External"/><Relationship Id="rId18" Type="http://schemas.openxmlformats.org/officeDocument/2006/relationships/hyperlink" Target="https://www.facebook.com/643003717853885/posts/644312664389657"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row>
    <row r="3" hidden="1">
      <c r="A3" s="1" t="s">
        <v>18</v>
      </c>
      <c r="B3" s="1" t="s">
        <v>19</v>
      </c>
      <c r="C3" s="2">
        <v>45107.29439814815</v>
      </c>
      <c r="D3" s="1" t="s">
        <v>20</v>
      </c>
      <c r="E3" s="1" t="s">
        <v>21</v>
      </c>
      <c r="F3" s="1" t="s">
        <v>22</v>
      </c>
      <c r="G3" s="1" t="s">
        <v>22</v>
      </c>
      <c r="H3" s="1" t="s">
        <v>23</v>
      </c>
      <c r="I3" s="1" t="s">
        <v>24</v>
      </c>
      <c r="J3" s="3" t="s">
        <v>25</v>
      </c>
      <c r="K3" s="1" t="s">
        <v>26</v>
      </c>
      <c r="L3" s="1">
        <v>2196.0</v>
      </c>
      <c r="M3" s="1">
        <v>2196.0</v>
      </c>
      <c r="N3" s="1" t="s">
        <v>27</v>
      </c>
      <c r="O3" s="1">
        <v>44.0</v>
      </c>
      <c r="P3" s="1">
        <v>2.0</v>
      </c>
      <c r="Q3" s="1">
        <v>0.0</v>
      </c>
    </row>
    <row r="4">
      <c r="A4" s="1" t="s">
        <v>18</v>
      </c>
      <c r="B4" s="1" t="s">
        <v>19</v>
      </c>
      <c r="C4" s="2">
        <v>45106.330196759256</v>
      </c>
      <c r="D4" s="1" t="s">
        <v>28</v>
      </c>
      <c r="E4" s="1" t="s">
        <v>21</v>
      </c>
      <c r="F4" s="1" t="s">
        <v>23</v>
      </c>
      <c r="G4" s="1" t="s">
        <v>23</v>
      </c>
      <c r="H4" s="1" t="s">
        <v>23</v>
      </c>
      <c r="I4" s="1" t="s">
        <v>29</v>
      </c>
      <c r="J4" s="3" t="s">
        <v>30</v>
      </c>
      <c r="K4" s="1" t="s">
        <v>31</v>
      </c>
      <c r="L4" s="1">
        <v>965.0</v>
      </c>
      <c r="M4" s="1">
        <v>0.0</v>
      </c>
      <c r="N4" s="1">
        <v>0.0</v>
      </c>
      <c r="O4" s="1">
        <v>13.0</v>
      </c>
      <c r="P4" s="1" t="s">
        <v>32</v>
      </c>
      <c r="Q4" s="1" t="s">
        <v>33</v>
      </c>
    </row>
    <row r="5">
      <c r="A5" s="1" t="s">
        <v>18</v>
      </c>
      <c r="B5" s="1" t="s">
        <v>19</v>
      </c>
      <c r="C5" s="2">
        <v>45100.75696759259</v>
      </c>
      <c r="D5" s="1" t="s">
        <v>34</v>
      </c>
      <c r="E5" s="1" t="s">
        <v>21</v>
      </c>
      <c r="F5" s="1" t="s">
        <v>23</v>
      </c>
      <c r="G5" s="1" t="s">
        <v>23</v>
      </c>
      <c r="H5" s="1" t="s">
        <v>23</v>
      </c>
      <c r="I5" s="1" t="s">
        <v>35</v>
      </c>
      <c r="J5" s="3" t="s">
        <v>36</v>
      </c>
      <c r="K5" s="1" t="s">
        <v>37</v>
      </c>
      <c r="L5" s="1">
        <v>2884.0</v>
      </c>
      <c r="M5" s="1">
        <v>0.0</v>
      </c>
      <c r="N5" s="1" t="s">
        <v>38</v>
      </c>
      <c r="O5" s="1">
        <v>41.0</v>
      </c>
      <c r="P5" s="1" t="s">
        <v>39</v>
      </c>
      <c r="Q5" s="1">
        <v>0.0</v>
      </c>
    </row>
    <row r="6" hidden="1">
      <c r="A6" s="1" t="s">
        <v>18</v>
      </c>
      <c r="B6" s="1" t="s">
        <v>19</v>
      </c>
      <c r="C6" s="2">
        <v>45098.675532407404</v>
      </c>
      <c r="D6" s="1" t="s">
        <v>20</v>
      </c>
      <c r="E6" s="1" t="s">
        <v>21</v>
      </c>
      <c r="F6" s="1" t="s">
        <v>22</v>
      </c>
      <c r="G6" s="1" t="s">
        <v>22</v>
      </c>
      <c r="H6" s="1" t="s">
        <v>23</v>
      </c>
      <c r="I6" s="1" t="s">
        <v>40</v>
      </c>
      <c r="J6" s="3" t="s">
        <v>41</v>
      </c>
      <c r="K6" s="1" t="s">
        <v>42</v>
      </c>
      <c r="L6" s="1">
        <v>11918.0</v>
      </c>
      <c r="M6" s="1">
        <v>11918.0</v>
      </c>
      <c r="N6" s="1" t="s">
        <v>43</v>
      </c>
      <c r="O6" s="1">
        <v>138.0</v>
      </c>
      <c r="P6" s="1" t="s">
        <v>44</v>
      </c>
      <c r="Q6" s="1">
        <v>0.0</v>
      </c>
    </row>
    <row r="7" hidden="1">
      <c r="A7" s="1" t="s">
        <v>18</v>
      </c>
      <c r="B7" s="1" t="s">
        <v>19</v>
      </c>
      <c r="C7" s="2">
        <v>45098.67496527778</v>
      </c>
      <c r="D7" s="1" t="s">
        <v>20</v>
      </c>
      <c r="E7" s="1" t="s">
        <v>21</v>
      </c>
      <c r="F7" s="1" t="s">
        <v>22</v>
      </c>
      <c r="G7" s="1" t="s">
        <v>22</v>
      </c>
      <c r="H7" s="1" t="s">
        <v>23</v>
      </c>
      <c r="I7" s="1" t="s">
        <v>40</v>
      </c>
      <c r="J7" s="3" t="s">
        <v>45</v>
      </c>
      <c r="K7" s="1" t="s">
        <v>46</v>
      </c>
      <c r="L7" s="1">
        <v>18127.0</v>
      </c>
      <c r="M7" s="1">
        <v>18127.0</v>
      </c>
      <c r="N7" s="1" t="s">
        <v>47</v>
      </c>
      <c r="O7" s="1">
        <v>214.0</v>
      </c>
      <c r="P7" s="1" t="s">
        <v>27</v>
      </c>
      <c r="Q7" s="1">
        <v>0.0</v>
      </c>
    </row>
    <row r="8" hidden="1">
      <c r="A8" s="1" t="s">
        <v>18</v>
      </c>
      <c r="B8" s="1" t="s">
        <v>19</v>
      </c>
      <c r="C8" s="2">
        <v>45098.67346064815</v>
      </c>
      <c r="D8" s="1" t="s">
        <v>20</v>
      </c>
      <c r="E8" s="1" t="s">
        <v>21</v>
      </c>
      <c r="F8" s="1" t="s">
        <v>22</v>
      </c>
      <c r="G8" s="1" t="s">
        <v>22</v>
      </c>
      <c r="H8" s="1" t="s">
        <v>23</v>
      </c>
      <c r="I8" s="1" t="s">
        <v>48</v>
      </c>
      <c r="J8" s="3" t="s">
        <v>49</v>
      </c>
      <c r="K8" s="1" t="s">
        <v>50</v>
      </c>
      <c r="L8" s="1">
        <v>19284.0</v>
      </c>
      <c r="M8" s="1">
        <v>19284.0</v>
      </c>
      <c r="N8" s="1" t="s">
        <v>51</v>
      </c>
      <c r="O8" s="1">
        <v>201.0</v>
      </c>
      <c r="P8" s="1" t="s">
        <v>52</v>
      </c>
      <c r="Q8" s="1">
        <v>0.0</v>
      </c>
    </row>
    <row r="9" hidden="1">
      <c r="A9" s="1" t="s">
        <v>18</v>
      </c>
      <c r="B9" s="1" t="s">
        <v>19</v>
      </c>
      <c r="C9" s="2">
        <v>45098.672743055555</v>
      </c>
      <c r="D9" s="1" t="s">
        <v>20</v>
      </c>
      <c r="E9" s="1" t="s">
        <v>21</v>
      </c>
      <c r="F9" s="1" t="s">
        <v>22</v>
      </c>
      <c r="G9" s="1" t="s">
        <v>22</v>
      </c>
      <c r="H9" s="1" t="s">
        <v>23</v>
      </c>
      <c r="I9" s="1" t="s">
        <v>48</v>
      </c>
      <c r="J9" s="3" t="s">
        <v>53</v>
      </c>
      <c r="K9" s="1" t="s">
        <v>54</v>
      </c>
      <c r="L9" s="1">
        <v>240.0</v>
      </c>
      <c r="M9" s="1">
        <v>240.0</v>
      </c>
      <c r="N9" s="1" t="s">
        <v>55</v>
      </c>
      <c r="O9" s="1">
        <v>6.0</v>
      </c>
      <c r="P9" s="1" t="s">
        <v>56</v>
      </c>
      <c r="Q9" s="1">
        <v>0.0</v>
      </c>
    </row>
    <row r="10" hidden="1">
      <c r="A10" s="1" t="s">
        <v>18</v>
      </c>
      <c r="B10" s="1" t="s">
        <v>19</v>
      </c>
      <c r="C10" s="2">
        <v>45098.672743055555</v>
      </c>
      <c r="D10" s="1" t="s">
        <v>20</v>
      </c>
      <c r="E10" s="1" t="s">
        <v>21</v>
      </c>
      <c r="F10" s="1" t="s">
        <v>22</v>
      </c>
      <c r="G10" s="1" t="s">
        <v>22</v>
      </c>
      <c r="H10" s="1" t="s">
        <v>23</v>
      </c>
      <c r="I10" s="1" t="s">
        <v>48</v>
      </c>
      <c r="J10" s="3" t="s">
        <v>57</v>
      </c>
      <c r="K10" s="1" t="s">
        <v>58</v>
      </c>
      <c r="L10" s="1">
        <v>16539.0</v>
      </c>
      <c r="M10" s="1">
        <v>16539.0</v>
      </c>
      <c r="N10" s="1" t="s">
        <v>59</v>
      </c>
      <c r="O10" s="1">
        <v>201.0</v>
      </c>
      <c r="P10" s="1" t="s">
        <v>60</v>
      </c>
      <c r="Q10" s="1">
        <v>0.0</v>
      </c>
    </row>
    <row r="11" hidden="1">
      <c r="A11" s="1" t="s">
        <v>18</v>
      </c>
      <c r="B11" s="1" t="s">
        <v>19</v>
      </c>
      <c r="C11" s="2">
        <v>45098.40925925926</v>
      </c>
      <c r="D11" s="1" t="s">
        <v>20</v>
      </c>
      <c r="E11" s="1" t="s">
        <v>21</v>
      </c>
      <c r="F11" s="1" t="s">
        <v>22</v>
      </c>
      <c r="G11" s="1" t="s">
        <v>22</v>
      </c>
      <c r="H11" s="1" t="s">
        <v>23</v>
      </c>
      <c r="I11" s="1" t="s">
        <v>40</v>
      </c>
      <c r="J11" s="3" t="s">
        <v>61</v>
      </c>
      <c r="K11" s="1" t="s">
        <v>62</v>
      </c>
      <c r="L11" s="1">
        <v>336.0</v>
      </c>
      <c r="M11" s="1">
        <v>336.0</v>
      </c>
      <c r="N11" s="1" t="s">
        <v>63</v>
      </c>
      <c r="O11" s="1">
        <v>6.0</v>
      </c>
      <c r="P11" s="1" t="s">
        <v>64</v>
      </c>
      <c r="Q11" s="1">
        <v>0.0</v>
      </c>
    </row>
    <row r="12" hidden="1">
      <c r="A12" s="1" t="s">
        <v>18</v>
      </c>
      <c r="B12" s="1" t="s">
        <v>19</v>
      </c>
      <c r="C12" s="2">
        <v>45098.407372685186</v>
      </c>
      <c r="D12" s="1" t="s">
        <v>20</v>
      </c>
      <c r="E12" s="1" t="s">
        <v>21</v>
      </c>
      <c r="F12" s="1" t="s">
        <v>22</v>
      </c>
      <c r="G12" s="1" t="s">
        <v>22</v>
      </c>
      <c r="H12" s="1" t="s">
        <v>23</v>
      </c>
      <c r="I12" s="1" t="s">
        <v>48</v>
      </c>
      <c r="J12" s="3" t="s">
        <v>65</v>
      </c>
      <c r="K12" s="1" t="s">
        <v>66</v>
      </c>
      <c r="L12" s="1">
        <v>588.0</v>
      </c>
      <c r="M12" s="1">
        <v>588.0</v>
      </c>
      <c r="N12" s="1" t="s">
        <v>67</v>
      </c>
      <c r="O12" s="1">
        <v>10.0</v>
      </c>
      <c r="P12" s="1" t="s">
        <v>68</v>
      </c>
      <c r="Q12" s="1">
        <v>0.0</v>
      </c>
    </row>
    <row r="13">
      <c r="A13" s="1" t="s">
        <v>18</v>
      </c>
      <c r="B13" s="1" t="s">
        <v>19</v>
      </c>
      <c r="C13" s="2">
        <v>45097.76368055555</v>
      </c>
      <c r="D13" s="1" t="s">
        <v>34</v>
      </c>
      <c r="E13" s="1" t="s">
        <v>21</v>
      </c>
      <c r="F13" s="1" t="s">
        <v>23</v>
      </c>
      <c r="G13" s="1" t="s">
        <v>23</v>
      </c>
      <c r="H13" s="1" t="s">
        <v>23</v>
      </c>
      <c r="I13" s="1" t="s">
        <v>69</v>
      </c>
      <c r="J13" s="3" t="s">
        <v>70</v>
      </c>
      <c r="K13" s="1" t="s">
        <v>71</v>
      </c>
      <c r="L13" s="1">
        <v>2316.0</v>
      </c>
      <c r="M13" s="1">
        <v>0.0</v>
      </c>
      <c r="N13" s="1" t="s">
        <v>72</v>
      </c>
      <c r="O13" s="1">
        <v>26.0</v>
      </c>
      <c r="P13" s="1" t="s">
        <v>73</v>
      </c>
      <c r="Q13" s="1">
        <v>1.0</v>
      </c>
    </row>
    <row r="14">
      <c r="A14" s="1" t="s">
        <v>18</v>
      </c>
      <c r="B14" s="1" t="s">
        <v>19</v>
      </c>
      <c r="C14" s="2">
        <v>45094.84626157407</v>
      </c>
      <c r="D14" s="1" t="s">
        <v>28</v>
      </c>
      <c r="E14" s="1" t="s">
        <v>21</v>
      </c>
      <c r="F14" s="1" t="s">
        <v>23</v>
      </c>
      <c r="G14" s="1" t="s">
        <v>23</v>
      </c>
      <c r="H14" s="1" t="s">
        <v>23</v>
      </c>
      <c r="I14" s="1" t="s">
        <v>74</v>
      </c>
      <c r="J14" s="3" t="s">
        <v>75</v>
      </c>
      <c r="K14" s="1" t="s">
        <v>76</v>
      </c>
      <c r="L14" s="1">
        <v>1003.0</v>
      </c>
      <c r="M14" s="1">
        <v>0.0</v>
      </c>
      <c r="N14" s="1">
        <v>0.0</v>
      </c>
      <c r="O14" s="1">
        <v>15.0</v>
      </c>
      <c r="P14" s="1" t="s">
        <v>77</v>
      </c>
      <c r="Q14" s="1" t="s">
        <v>33</v>
      </c>
    </row>
    <row r="15">
      <c r="A15" s="1" t="s">
        <v>18</v>
      </c>
      <c r="B15" s="1" t="s">
        <v>19</v>
      </c>
      <c r="C15" s="2">
        <v>45093.797430555554</v>
      </c>
      <c r="D15" s="1" t="s">
        <v>34</v>
      </c>
      <c r="E15" s="1" t="s">
        <v>21</v>
      </c>
      <c r="F15" s="1" t="s">
        <v>23</v>
      </c>
      <c r="G15" s="1" t="s">
        <v>23</v>
      </c>
      <c r="H15" s="1" t="s">
        <v>23</v>
      </c>
      <c r="I15" s="1" t="s">
        <v>78</v>
      </c>
      <c r="J15" s="3" t="s">
        <v>79</v>
      </c>
      <c r="K15" s="1" t="s">
        <v>80</v>
      </c>
      <c r="L15" s="1">
        <v>2976.0</v>
      </c>
      <c r="M15" s="1">
        <v>0.0</v>
      </c>
      <c r="N15" s="1" t="s">
        <v>81</v>
      </c>
      <c r="O15" s="1">
        <v>21.0</v>
      </c>
      <c r="P15" s="1" t="s">
        <v>82</v>
      </c>
      <c r="Q15" s="1">
        <v>0.0</v>
      </c>
    </row>
    <row r="16">
      <c r="A16" s="1" t="s">
        <v>18</v>
      </c>
      <c r="B16" s="1" t="s">
        <v>19</v>
      </c>
      <c r="C16" s="2">
        <v>45092.774872685186</v>
      </c>
      <c r="D16" s="1" t="s">
        <v>34</v>
      </c>
      <c r="E16" s="1" t="s">
        <v>21</v>
      </c>
      <c r="F16" s="1" t="s">
        <v>23</v>
      </c>
      <c r="G16" s="1" t="s">
        <v>23</v>
      </c>
      <c r="H16" s="1" t="s">
        <v>23</v>
      </c>
      <c r="I16" s="1" t="s">
        <v>83</v>
      </c>
      <c r="J16" s="3" t="s">
        <v>84</v>
      </c>
      <c r="K16" s="1" t="s">
        <v>85</v>
      </c>
      <c r="L16" s="1">
        <v>2627.0</v>
      </c>
      <c r="M16" s="1">
        <v>0.0</v>
      </c>
      <c r="N16" s="1" t="s">
        <v>63</v>
      </c>
      <c r="O16" s="1">
        <v>31.0</v>
      </c>
      <c r="P16" s="1" t="s">
        <v>27</v>
      </c>
      <c r="Q16" s="1">
        <v>0.0</v>
      </c>
    </row>
    <row r="17">
      <c r="A17" s="1" t="s">
        <v>18</v>
      </c>
      <c r="B17" s="1" t="s">
        <v>19</v>
      </c>
      <c r="C17" s="2">
        <v>45088.73221064815</v>
      </c>
      <c r="D17" s="1" t="s">
        <v>34</v>
      </c>
      <c r="E17" s="1" t="s">
        <v>21</v>
      </c>
      <c r="F17" s="1" t="s">
        <v>23</v>
      </c>
      <c r="G17" s="1" t="s">
        <v>23</v>
      </c>
      <c r="H17" s="1" t="s">
        <v>23</v>
      </c>
      <c r="I17" s="1" t="s">
        <v>33</v>
      </c>
      <c r="J17" s="3" t="s">
        <v>86</v>
      </c>
      <c r="K17" s="1" t="s">
        <v>87</v>
      </c>
      <c r="L17" s="1">
        <v>5665.0</v>
      </c>
      <c r="M17" s="1">
        <v>0.0</v>
      </c>
      <c r="N17" s="1" t="s">
        <v>88</v>
      </c>
      <c r="O17" s="1">
        <v>1.0</v>
      </c>
      <c r="P17" s="1" t="s">
        <v>89</v>
      </c>
      <c r="Q17" s="1">
        <v>0.0</v>
      </c>
    </row>
    <row r="18">
      <c r="A18" s="1" t="s">
        <v>18</v>
      </c>
      <c r="B18" s="1" t="s">
        <v>19</v>
      </c>
      <c r="C18" s="2">
        <v>45088.73221064815</v>
      </c>
      <c r="D18" s="1" t="s">
        <v>34</v>
      </c>
      <c r="E18" s="1" t="s">
        <v>21</v>
      </c>
      <c r="F18" s="1" t="s">
        <v>23</v>
      </c>
      <c r="G18" s="1" t="s">
        <v>23</v>
      </c>
      <c r="H18" s="1" t="s">
        <v>23</v>
      </c>
      <c r="I18" s="1" t="s">
        <v>90</v>
      </c>
      <c r="J18" s="3" t="s">
        <v>91</v>
      </c>
      <c r="K18" s="1" t="s">
        <v>92</v>
      </c>
      <c r="L18" s="1">
        <v>5709.0</v>
      </c>
      <c r="M18" s="1">
        <v>0.0</v>
      </c>
      <c r="N18" s="1" t="s">
        <v>88</v>
      </c>
      <c r="O18" s="1">
        <v>62.0</v>
      </c>
      <c r="P18" s="1" t="s">
        <v>93</v>
      </c>
      <c r="Q18" s="1">
        <v>0.0</v>
      </c>
    </row>
    <row r="19">
      <c r="A19" s="1" t="s">
        <v>18</v>
      </c>
      <c r="B19" s="1" t="s">
        <v>19</v>
      </c>
      <c r="C19" s="2">
        <v>45088.60600694444</v>
      </c>
      <c r="D19" s="1" t="s">
        <v>34</v>
      </c>
      <c r="E19" s="1" t="s">
        <v>21</v>
      </c>
      <c r="F19" s="1" t="s">
        <v>23</v>
      </c>
      <c r="G19" s="1" t="s">
        <v>23</v>
      </c>
      <c r="H19" s="1" t="s">
        <v>23</v>
      </c>
      <c r="I19" s="1" t="s">
        <v>94</v>
      </c>
      <c r="J19" s="3" t="s">
        <v>95</v>
      </c>
      <c r="K19" s="1" t="s">
        <v>96</v>
      </c>
      <c r="L19" s="1">
        <v>6904.0</v>
      </c>
      <c r="M19" s="1">
        <v>0.0</v>
      </c>
      <c r="N19" s="1" t="s">
        <v>97</v>
      </c>
      <c r="O19" s="1">
        <v>58.0</v>
      </c>
      <c r="P19" s="1" t="s">
        <v>98</v>
      </c>
      <c r="Q19" s="1">
        <v>1.0</v>
      </c>
    </row>
    <row r="20">
      <c r="A20" s="1" t="s">
        <v>18</v>
      </c>
      <c r="B20" s="1" t="s">
        <v>19</v>
      </c>
      <c r="C20" s="2">
        <v>45087.85355324074</v>
      </c>
      <c r="D20" s="1" t="s">
        <v>34</v>
      </c>
      <c r="E20" s="1" t="s">
        <v>21</v>
      </c>
      <c r="F20" s="1" t="s">
        <v>23</v>
      </c>
      <c r="G20" s="1" t="s">
        <v>23</v>
      </c>
      <c r="H20" s="1" t="s">
        <v>23</v>
      </c>
      <c r="I20" s="1" t="s">
        <v>99</v>
      </c>
      <c r="J20" s="3" t="s">
        <v>100</v>
      </c>
      <c r="K20" s="1" t="s">
        <v>101</v>
      </c>
      <c r="L20" s="1">
        <v>2341.0</v>
      </c>
      <c r="M20" s="1">
        <v>0.0</v>
      </c>
      <c r="N20" s="1" t="s">
        <v>102</v>
      </c>
      <c r="O20" s="1">
        <v>23.0</v>
      </c>
      <c r="P20" s="1" t="s">
        <v>103</v>
      </c>
      <c r="Q20" s="1">
        <v>0.0</v>
      </c>
    </row>
    <row r="21">
      <c r="A21" s="1" t="s">
        <v>18</v>
      </c>
      <c r="B21" s="1" t="s">
        <v>19</v>
      </c>
      <c r="C21" s="2">
        <v>45085.75634259259</v>
      </c>
      <c r="D21" s="1" t="s">
        <v>34</v>
      </c>
      <c r="E21" s="1" t="s">
        <v>21</v>
      </c>
      <c r="F21" s="1" t="s">
        <v>23</v>
      </c>
      <c r="G21" s="1" t="s">
        <v>23</v>
      </c>
      <c r="H21" s="1" t="s">
        <v>23</v>
      </c>
      <c r="I21" s="1" t="s">
        <v>104</v>
      </c>
      <c r="J21" s="3" t="s">
        <v>105</v>
      </c>
      <c r="K21" s="1" t="s">
        <v>106</v>
      </c>
      <c r="L21" s="1">
        <v>1254.0</v>
      </c>
      <c r="M21" s="1">
        <v>0.0</v>
      </c>
      <c r="N21" s="1" t="s">
        <v>107</v>
      </c>
      <c r="O21" s="1">
        <v>20.0</v>
      </c>
      <c r="P21" s="1" t="s">
        <v>108</v>
      </c>
      <c r="Q21" s="1">
        <v>0.0</v>
      </c>
    </row>
    <row r="22">
      <c r="A22" s="1" t="s">
        <v>18</v>
      </c>
      <c r="B22" s="1" t="s">
        <v>19</v>
      </c>
      <c r="C22" s="2">
        <v>45085.712476851855</v>
      </c>
      <c r="D22" s="1" t="s">
        <v>34</v>
      </c>
      <c r="E22" s="1" t="s">
        <v>21</v>
      </c>
      <c r="F22" s="1" t="s">
        <v>23</v>
      </c>
      <c r="G22" s="1" t="s">
        <v>23</v>
      </c>
      <c r="H22" s="1" t="s">
        <v>23</v>
      </c>
      <c r="I22" s="1" t="s">
        <v>109</v>
      </c>
      <c r="J22" s="3" t="s">
        <v>110</v>
      </c>
      <c r="K22" s="1" t="s">
        <v>111</v>
      </c>
      <c r="L22" s="1">
        <v>892.0</v>
      </c>
      <c r="M22" s="1">
        <v>0.0</v>
      </c>
      <c r="N22" s="1" t="s">
        <v>52</v>
      </c>
      <c r="O22" s="1">
        <v>15.0</v>
      </c>
      <c r="P22" s="1" t="s">
        <v>112</v>
      </c>
      <c r="Q22" s="1">
        <v>0.0</v>
      </c>
    </row>
    <row r="23">
      <c r="A23" s="1" t="s">
        <v>18</v>
      </c>
      <c r="B23" s="1" t="s">
        <v>19</v>
      </c>
      <c r="C23" s="2">
        <v>45085.43748842592</v>
      </c>
      <c r="D23" s="1" t="s">
        <v>34</v>
      </c>
      <c r="E23" s="1" t="s">
        <v>21</v>
      </c>
      <c r="F23" s="1" t="s">
        <v>23</v>
      </c>
      <c r="G23" s="1" t="s">
        <v>23</v>
      </c>
      <c r="H23" s="1" t="s">
        <v>23</v>
      </c>
      <c r="I23" s="1" t="s">
        <v>113</v>
      </c>
      <c r="J23" s="3" t="s">
        <v>114</v>
      </c>
      <c r="K23" s="1" t="s">
        <v>115</v>
      </c>
      <c r="L23" s="1">
        <v>1855.0</v>
      </c>
      <c r="M23" s="1">
        <v>0.0</v>
      </c>
      <c r="N23" s="1" t="s">
        <v>81</v>
      </c>
      <c r="O23" s="1">
        <v>33.0</v>
      </c>
      <c r="P23" s="1" t="s">
        <v>116</v>
      </c>
      <c r="Q23" s="1">
        <v>0.0</v>
      </c>
    </row>
    <row r="24">
      <c r="A24" s="1" t="s">
        <v>18</v>
      </c>
      <c r="B24" s="1" t="s">
        <v>19</v>
      </c>
      <c r="C24" s="2">
        <v>45084.701631944445</v>
      </c>
      <c r="D24" s="1" t="s">
        <v>34</v>
      </c>
      <c r="E24" s="1" t="s">
        <v>21</v>
      </c>
      <c r="F24" s="1" t="s">
        <v>23</v>
      </c>
      <c r="G24" s="1" t="s">
        <v>23</v>
      </c>
      <c r="H24" s="1" t="s">
        <v>23</v>
      </c>
      <c r="I24" s="1" t="s">
        <v>117</v>
      </c>
      <c r="J24" s="3" t="s">
        <v>118</v>
      </c>
      <c r="K24" s="1" t="s">
        <v>119</v>
      </c>
      <c r="L24" s="1">
        <v>2609.0</v>
      </c>
      <c r="M24" s="1">
        <v>0.0</v>
      </c>
      <c r="N24" s="1" t="s">
        <v>107</v>
      </c>
      <c r="O24" s="1">
        <v>48.0</v>
      </c>
      <c r="P24" s="1" t="s">
        <v>120</v>
      </c>
      <c r="Q24" s="1">
        <v>0.0</v>
      </c>
    </row>
    <row r="25">
      <c r="A25" s="1" t="s">
        <v>18</v>
      </c>
      <c r="B25" s="1" t="s">
        <v>19</v>
      </c>
      <c r="C25" s="2">
        <v>45081.58603009259</v>
      </c>
      <c r="D25" s="1" t="s">
        <v>34</v>
      </c>
      <c r="E25" s="1" t="s">
        <v>21</v>
      </c>
      <c r="F25" s="1" t="s">
        <v>23</v>
      </c>
      <c r="G25" s="1" t="s">
        <v>23</v>
      </c>
      <c r="H25" s="1" t="s">
        <v>23</v>
      </c>
      <c r="I25" s="1" t="s">
        <v>121</v>
      </c>
      <c r="J25" s="3" t="s">
        <v>122</v>
      </c>
      <c r="K25" s="1" t="s">
        <v>123</v>
      </c>
      <c r="L25" s="1">
        <v>2382.0</v>
      </c>
      <c r="M25" s="1">
        <v>0.0</v>
      </c>
      <c r="N25" s="1" t="s">
        <v>124</v>
      </c>
      <c r="O25" s="1">
        <v>14.0</v>
      </c>
      <c r="P25" s="1" t="s">
        <v>125</v>
      </c>
      <c r="Q25" s="1">
        <v>0.0</v>
      </c>
    </row>
    <row r="26">
      <c r="A26" s="1" t="s">
        <v>18</v>
      </c>
      <c r="B26" s="1" t="s">
        <v>19</v>
      </c>
      <c r="C26" s="2">
        <v>45081.33387731481</v>
      </c>
      <c r="D26" s="1" t="s">
        <v>34</v>
      </c>
      <c r="E26" s="1" t="s">
        <v>21</v>
      </c>
      <c r="F26" s="1" t="s">
        <v>23</v>
      </c>
      <c r="G26" s="1" t="s">
        <v>23</v>
      </c>
      <c r="H26" s="1" t="s">
        <v>23</v>
      </c>
      <c r="I26" s="1" t="s">
        <v>126</v>
      </c>
      <c r="J26" s="3" t="s">
        <v>127</v>
      </c>
      <c r="K26" s="1" t="s">
        <v>128</v>
      </c>
      <c r="L26" s="1">
        <v>1721.0</v>
      </c>
      <c r="M26" s="1">
        <v>0.0</v>
      </c>
      <c r="N26" s="1" t="s">
        <v>52</v>
      </c>
      <c r="O26" s="1">
        <v>33.0</v>
      </c>
      <c r="P26" s="1" t="s">
        <v>129</v>
      </c>
      <c r="Q26" s="1">
        <v>1.0</v>
      </c>
    </row>
    <row r="27">
      <c r="A27" s="1" t="s">
        <v>18</v>
      </c>
      <c r="B27" s="1" t="s">
        <v>19</v>
      </c>
      <c r="C27" s="2">
        <v>45079.77483796296</v>
      </c>
      <c r="D27" s="1" t="s">
        <v>34</v>
      </c>
      <c r="E27" s="1" t="s">
        <v>21</v>
      </c>
      <c r="F27" s="1" t="s">
        <v>23</v>
      </c>
      <c r="G27" s="1" t="s">
        <v>23</v>
      </c>
      <c r="H27" s="1" t="s">
        <v>23</v>
      </c>
      <c r="I27" s="1" t="s">
        <v>130</v>
      </c>
      <c r="J27" s="3" t="s">
        <v>131</v>
      </c>
      <c r="K27" s="1" t="s">
        <v>132</v>
      </c>
      <c r="L27" s="1">
        <v>4616.0</v>
      </c>
      <c r="M27" s="1">
        <v>0.0</v>
      </c>
      <c r="N27" s="1" t="s">
        <v>63</v>
      </c>
      <c r="O27" s="1">
        <v>40.0</v>
      </c>
      <c r="P27" s="1" t="s">
        <v>133</v>
      </c>
      <c r="Q27" s="1">
        <v>1.0</v>
      </c>
    </row>
  </sheetData>
  <autoFilter ref="$A$1:$Q$27">
    <filterColumn colId="5">
      <filters>
        <filter val="No"/>
        <filter val="Dark"/>
      </filters>
    </filterColumn>
  </autoFilter>
  <hyperlinks>
    <hyperlink r:id="rId1" ref="J3"/>
    <hyperlink r:id="rId2" ref="J4"/>
    <hyperlink r:id="rId3" ref="J5"/>
    <hyperlink r:id="rId4" ref="J6"/>
    <hyperlink r:id="rId5" ref="J7"/>
    <hyperlink r:id="rId6" ref="J8"/>
    <hyperlink r:id="rId7" ref="J9"/>
    <hyperlink r:id="rId8" ref="J10"/>
    <hyperlink r:id="rId9" ref="J11"/>
    <hyperlink r:id="rId10" ref="J12"/>
    <hyperlink r:id="rId11" ref="J13"/>
    <hyperlink r:id="rId12" ref="J14"/>
    <hyperlink r:id="rId13" ref="J15"/>
    <hyperlink r:id="rId14" ref="J16"/>
    <hyperlink r:id="rId15" ref="J17"/>
    <hyperlink r:id="rId16" ref="J18"/>
    <hyperlink r:id="rId17" ref="J19"/>
    <hyperlink r:id="rId18" ref="J20"/>
    <hyperlink r:id="rId19" ref="J21"/>
    <hyperlink r:id="rId20" ref="J22"/>
    <hyperlink r:id="rId21" ref="J23"/>
    <hyperlink r:id="rId22" ref="J24"/>
    <hyperlink r:id="rId23" ref="J25"/>
    <hyperlink r:id="rId24" ref="J26"/>
    <hyperlink r:id="rId25" ref="J27"/>
  </hyperlinks>
  <drawing r:id="rId2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t="s">
        <v>16</v>
      </c>
      <c r="C2" s="1" t="s">
        <v>12</v>
      </c>
      <c r="D2" s="1" t="s">
        <v>15</v>
      </c>
    </row>
    <row r="3">
      <c r="A3" s="1">
        <v>1.35</v>
      </c>
      <c r="C3" s="1">
        <v>965.0</v>
      </c>
      <c r="D3" s="1">
        <v>13.0</v>
      </c>
    </row>
    <row r="4">
      <c r="A4" s="1">
        <v>1.42</v>
      </c>
      <c r="C4" s="1">
        <v>2884.0</v>
      </c>
      <c r="D4" s="1">
        <v>41.0</v>
      </c>
    </row>
    <row r="5">
      <c r="A5" s="1">
        <v>1.12</v>
      </c>
      <c r="C5" s="1">
        <v>2316.0</v>
      </c>
      <c r="D5" s="1">
        <v>26.0</v>
      </c>
    </row>
    <row r="6">
      <c r="A6" s="1">
        <v>1.5</v>
      </c>
      <c r="C6" s="1">
        <v>1003.0</v>
      </c>
      <c r="D6" s="1">
        <v>15.0</v>
      </c>
    </row>
    <row r="7">
      <c r="A7" s="1">
        <v>0.71</v>
      </c>
      <c r="C7" s="1">
        <v>2976.0</v>
      </c>
      <c r="D7" s="1">
        <v>21.0</v>
      </c>
    </row>
    <row r="8">
      <c r="A8" s="1">
        <v>1.18</v>
      </c>
      <c r="C8" s="1">
        <v>2627.0</v>
      </c>
      <c r="D8" s="1">
        <v>31.0</v>
      </c>
    </row>
    <row r="9">
      <c r="A9" s="1">
        <v>0.02</v>
      </c>
      <c r="C9" s="1">
        <v>5665.0</v>
      </c>
      <c r="D9" s="1">
        <v>1.0</v>
      </c>
    </row>
    <row r="10">
      <c r="A10" s="1">
        <v>1.09</v>
      </c>
      <c r="C10" s="1">
        <v>5709.0</v>
      </c>
      <c r="D10" s="1">
        <v>62.0</v>
      </c>
    </row>
    <row r="11">
      <c r="A11" s="1">
        <v>0.84</v>
      </c>
      <c r="C11" s="1">
        <v>6904.0</v>
      </c>
      <c r="D11" s="1">
        <v>58.0</v>
      </c>
    </row>
    <row r="12">
      <c r="A12" s="1">
        <v>0.98</v>
      </c>
      <c r="C12" s="1">
        <v>2341.0</v>
      </c>
      <c r="D12" s="1">
        <v>23.0</v>
      </c>
    </row>
    <row r="13">
      <c r="A13" s="1">
        <v>1.59</v>
      </c>
      <c r="C13" s="1">
        <v>1254.0</v>
      </c>
      <c r="D13" s="1">
        <v>20.0</v>
      </c>
    </row>
    <row r="14">
      <c r="A14" s="1">
        <v>1.68</v>
      </c>
      <c r="C14" s="1">
        <v>892.0</v>
      </c>
      <c r="D14" s="1">
        <v>15.0</v>
      </c>
    </row>
    <row r="15">
      <c r="A15" s="1">
        <v>1.78</v>
      </c>
      <c r="C15" s="1">
        <v>1855.0</v>
      </c>
      <c r="D15" s="1">
        <v>33.0</v>
      </c>
    </row>
    <row r="16">
      <c r="A16" s="1">
        <v>1.84</v>
      </c>
      <c r="C16" s="1">
        <v>2609.0</v>
      </c>
      <c r="D16" s="1">
        <v>48.0</v>
      </c>
    </row>
    <row r="17">
      <c r="A17" s="1">
        <v>0.59</v>
      </c>
      <c r="C17" s="1">
        <v>2382.0</v>
      </c>
      <c r="D17" s="1">
        <v>14.0</v>
      </c>
    </row>
    <row r="18">
      <c r="A18" s="1">
        <v>1.92</v>
      </c>
      <c r="C18" s="1">
        <v>1721.0</v>
      </c>
      <c r="D18" s="1">
        <v>33.0</v>
      </c>
    </row>
    <row r="19">
      <c r="A19" s="1">
        <v>0.87</v>
      </c>
      <c r="C19" s="1">
        <v>4616.0</v>
      </c>
      <c r="D19" s="1">
        <v>40.0</v>
      </c>
    </row>
    <row r="20">
      <c r="A20" s="4">
        <f>AVERAGE(A2:A19)</f>
        <v>1.204705882</v>
      </c>
      <c r="C20" s="5">
        <f>AVERAGE(C3:C19)</f>
        <v>2865.823529</v>
      </c>
      <c r="D20" s="6">
        <f>SUM(D3:D19)</f>
        <v>494</v>
      </c>
    </row>
    <row r="21">
      <c r="C21" s="6">
        <f>SUM(C3:C19)</f>
        <v>48719</v>
      </c>
    </row>
  </sheetData>
  <drawing r:id="rId1"/>
</worksheet>
</file>