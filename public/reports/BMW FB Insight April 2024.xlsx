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valiq_posts_facebook_insights" sheetId="1" r:id="rId4"/>
  </sheets>
  <definedNames/>
  <calcPr/>
</workbook>
</file>

<file path=xl/sharedStrings.xml><?xml version="1.0" encoding="utf-8"?>
<sst xmlns="http://schemas.openxmlformats.org/spreadsheetml/2006/main" count="184" uniqueCount="155">
  <si>
    <t>presence_handle</t>
  </si>
  <si>
    <t>published_at</t>
  </si>
  <si>
    <t>report_generated_at</t>
  </si>
  <si>
    <t>captured_at</t>
  </si>
  <si>
    <t>caption</t>
  </si>
  <si>
    <t>image</t>
  </si>
  <si>
    <t>post_link</t>
  </si>
  <si>
    <t>post_type</t>
  </si>
  <si>
    <t>posted_by</t>
  </si>
  <si>
    <t>spend</t>
  </si>
  <si>
    <t>reach</t>
  </si>
  <si>
    <t>reach_paid</t>
  </si>
  <si>
    <t>reach_organic</t>
  </si>
  <si>
    <t>reach_organic_viral</t>
  </si>
  <si>
    <t>reach_organic_non_viral</t>
  </si>
  <si>
    <t>fan_reach</t>
  </si>
  <si>
    <t>fan_reach_rate</t>
  </si>
  <si>
    <t>impressions</t>
  </si>
  <si>
    <t>impressions_paid</t>
  </si>
  <si>
    <t>impressions_organic</t>
  </si>
  <si>
    <t>impressions_organic_viral</t>
  </si>
  <si>
    <t>impressions_organic_non_viral</t>
  </si>
  <si>
    <t>engaged_users</t>
  </si>
  <si>
    <t>engaged_page_fans</t>
  </si>
  <si>
    <t>engaged_non_page_fans</t>
  </si>
  <si>
    <t>page_fans</t>
  </si>
  <si>
    <t>social_engagement_total</t>
  </si>
  <si>
    <t>social_engagement_total_post_only</t>
  </si>
  <si>
    <t>engagement_total</t>
  </si>
  <si>
    <t>social_engagement_total_organic</t>
  </si>
  <si>
    <t>social_engagement_total_paid</t>
  </si>
  <si>
    <t>reactions</t>
  </si>
  <si>
    <t>likes_post_only</t>
  </si>
  <si>
    <t>loves_post_only</t>
  </si>
  <si>
    <t>hahas_post_only</t>
  </si>
  <si>
    <t>wows_post_only</t>
  </si>
  <si>
    <t>sads_post_only</t>
  </si>
  <si>
    <t>angrys_post_only</t>
  </si>
  <si>
    <t>likes</t>
  </si>
  <si>
    <t>loves</t>
  </si>
  <si>
    <t>hahas</t>
  </si>
  <si>
    <t>wows</t>
  </si>
  <si>
    <t>sads</t>
  </si>
  <si>
    <t>angrys</t>
  </si>
  <si>
    <t>negative_feedback</t>
  </si>
  <si>
    <t>negative_feedback_unique</t>
  </si>
  <si>
    <t>fan_post_impressions</t>
  </si>
  <si>
    <t>fan_post_impressions_paid</t>
  </si>
  <si>
    <t>fan_reach_paid</t>
  </si>
  <si>
    <t>video_viewers</t>
  </si>
  <si>
    <t>video_viewers_organic</t>
  </si>
  <si>
    <t>video_viewers_paid</t>
  </si>
  <si>
    <t>total_time_viewed_reels_and_videos</t>
  </si>
  <si>
    <t>video_view_length_organic</t>
  </si>
  <si>
    <t>video_view_length_paid</t>
  </si>
  <si>
    <t>reactions_organic</t>
  </si>
  <si>
    <t>reactions_paid</t>
  </si>
  <si>
    <t>reactions_post_only</t>
  </si>
  <si>
    <t>comments</t>
  </si>
  <si>
    <t>comments_organic</t>
  </si>
  <si>
    <t>comments_paid</t>
  </si>
  <si>
    <t>comments_post_only</t>
  </si>
  <si>
    <t>shares</t>
  </si>
  <si>
    <t>shares_organic</t>
  </si>
  <si>
    <t>shares_paid</t>
  </si>
  <si>
    <t>shares_post_only</t>
  </si>
  <si>
    <t>consumptions_via_insights</t>
  </si>
  <si>
    <t>link_clicks_via_insights</t>
  </si>
  <si>
    <t>photo_views_via_insights</t>
  </si>
  <si>
    <t>video_plays_via_insights</t>
  </si>
  <si>
    <t>other_clicks_via_insights</t>
  </si>
  <si>
    <t>consumptions_via_ads</t>
  </si>
  <si>
    <t>link_clicks_via_ads</t>
  </si>
  <si>
    <t>photo_views_via_ads</t>
  </si>
  <si>
    <t>video_plays_via_ads</t>
  </si>
  <si>
    <t>other_clicks_via_ads</t>
  </si>
  <si>
    <t>facebook_engagement_rate</t>
  </si>
  <si>
    <t>social_engagement_rate_by_reach</t>
  </si>
  <si>
    <t>social_engagement_rate_by_reach_paid</t>
  </si>
  <si>
    <t>social_engagement_rate_by_reach_organic</t>
  </si>
  <si>
    <t>social_engagement_rate_by_impression</t>
  </si>
  <si>
    <t>social_engagement_rate_by_impression_paid</t>
  </si>
  <si>
    <t>social_engagement_rate_by_impression_organic</t>
  </si>
  <si>
    <t>engagement_rate_by_reach</t>
  </si>
  <si>
    <t>engagement_rate_by_impression</t>
  </si>
  <si>
    <t>engagement_rate_by_page_fan</t>
  </si>
  <si>
    <t>social_engagement_rate_by_page_fan</t>
  </si>
  <si>
    <t>live_video_viewers</t>
  </si>
  <si>
    <t>video_length_reels_and_videos</t>
  </si>
  <si>
    <t>average_watch_length_reels_and_videos</t>
  </si>
  <si>
    <t>average_percent_viewed_video</t>
  </si>
  <si>
    <t>video_view_rate_by_impression</t>
  </si>
  <si>
    <t>views_reels_and_videos</t>
  </si>
  <si>
    <t>video_views_organic</t>
  </si>
  <si>
    <t>video_views_paid</t>
  </si>
  <si>
    <t>30_second_video_views</t>
  </si>
  <si>
    <t>30_second_video_views_organic</t>
  </si>
  <si>
    <t>30_second_video_views_paid</t>
  </si>
  <si>
    <t>10_second_video_views</t>
  </si>
  <si>
    <t>10_second_video_views_organic</t>
  </si>
  <si>
    <t>10_second_video_views_paid</t>
  </si>
  <si>
    <t>video_views_to_95</t>
  </si>
  <si>
    <t>video_views_to_95_organic</t>
  </si>
  <si>
    <t>video_views_to_95_paid</t>
  </si>
  <si>
    <t>30_second_video_view_rate</t>
  </si>
  <si>
    <t>30_second_video_view_rate_organic</t>
  </si>
  <si>
    <t>30_second_video_view_rate_paid</t>
  </si>
  <si>
    <t>95_video_view_rate</t>
  </si>
  <si>
    <t>95_video_view_rate_organic</t>
  </si>
  <si>
    <t>95_video_view_rate_paid</t>
  </si>
  <si>
    <t>post_tag_ugc</t>
  </si>
  <si>
    <t>post_tag_contests</t>
  </si>
  <si>
    <t>BMWIndonesia</t>
  </si>
  <si>
    <t>Time to take the lead with The First Fully-Electric i5, your finest iconic business sedan. Encounter its electrifying power, sporty elegance, and cutting-edge features to capture your #EverlastingJOY on the road. Get in touch with your preferred authorized BMW dealer or visit bmw.co.id, to explore more about THE i5. #THEi5 #AllElectricBusinessSedan</t>
  </si>
  <si>
    <t>https://d1fufsnuanxyqc.cloudfront.net/389627907174527</t>
  </si>
  <si>
    <t>https://www.facebook.com/reel/389627907174527/</t>
  </si>
  <si>
    <t>reel</t>
  </si>
  <si>
    <t>BMW Indonesia</t>
  </si>
  <si>
    <t>Have a joyful journey back home with all your essentials packed, while you relish in the comfortable SensaTec upholstery and spaciousness of THE X3. With BMW Service by your side, secure peace of mind on the road. #WhateverHappens, Relax. We Care. Contact your preferred Authorized BMW Dealer or visit bmw.co.id now for more details on THE X3 and BMW Service. Take advantage of installment plans starting from Rp19 million, and save up to Rp50 million* on the BMW X3 xDrive30i M Sport. *TnC Apply.</t>
  </si>
  <si>
    <t>https://d1fufsnuanxyqc.cloudfront.net/2837819823038873</t>
  </si>
  <si>
    <t>https://www.facebook.com/reel/2837819823038873/</t>
  </si>
  <si>
    <t>Drive JOY home this blessed Lebaran with BMW’s exclusive offers. Get free IDR 10 Mio gasoline or BMW accesories and lifestyle voucher, and savings up to IDR 50 Mio and low monthly installments.* 281i Gran Coupé Sport  → Start from IDR 11 Mio / month 320i M Sport  → Start from IDR 14 Mio / month 330i M Sport Pro  → Start from IDR 15 Mio / month X3 sDrive20i xLine  → Start from IDR 17 Mio / month X3 xDrive30i M Sport  → Start from IDR 19 Mio / month Enjoy this exclusive offer limited only until end of April 2024, contact your preferred authorized BMW dealer or visit bmw.co.id  *TnC Apply.</t>
  </si>
  <si>
    <t>https://d1fufsnuanxyqc.cloudfront.net/380239241657007</t>
  </si>
  <si>
    <t>https://www.facebook.com/reel/380239241657007/</t>
  </si>
  <si>
    <t>This Ramadan is coming to an end. Let's celebrate the victory with loved ones to bring more gratitude, prosperity, and #EverlastingJOY. Eid Mubarak from BMW Indonesia.</t>
  </si>
  <si>
    <t>https://d1fufsnuanxyqc.cloudfront.net/945877026852877</t>
  </si>
  <si>
    <t>https://www.facebook.com/reel/945877026852877/</t>
  </si>
  <si>
    <t>Happy Kartini’s Day to all Indonesian women. Let's embrace Kartini's legacy to pursue our dreams with passion and FREUDE. #THEi5 #AllElectricBusinessSedan</t>
  </si>
  <si>
    <t>https://d1fufsnuanxyqc.cloudfront.net/454020360392147</t>
  </si>
  <si>
    <t>https://www.facebook.com/reel/454020360392147/</t>
  </si>
  <si>
    <t>Nurturing sustainability from the inside out, the BMW Vision Neue Klasse X pioneers with recycled materials, reduced emissions, and a commitment to a greener future, all harmonizing to the symphony of FREUDE.</t>
  </si>
  <si>
    <t>https://d1fufsnuanxyqc.cloudfront.net/3943873465898787</t>
  </si>
  <si>
    <t>https://www.facebook.com/reel/3943873465898787/</t>
  </si>
  <si>
    <t>Turn your journey home into a joyful ride with THE X3, as enjoyed by Den Dimas (@buburayamracer) and Aurelia (@couplewanders). Featuring a spacious and comfortable interior, along with generous room for your Samsonite luggage, THE X3 is tailored to meet all your mudik trip essentials. Experience not only comfort inside the car but also peace of mind with our BMW Service. #WhateverHappens on the road—Relax. We Care. Reach out to your preferred BMW Authorized Dealer today for further details on THE X3 and BMW Service. Get the most out of installment plans starting from Rp19 mio and save up to Rp50 mio* on the BMW X3 xDrive30i M Sport. *TnC Apply.</t>
  </si>
  <si>
    <t>https://d1fufsnuanxyqc.cloudfront.net/195487454216_828437225977199</t>
  </si>
  <si>
    <t>https://www.facebook.com/644655054355418/posts/828437225977199</t>
  </si>
  <si>
    <t>photo</t>
  </si>
  <si>
    <t>Leverate Socmed</t>
  </si>
  <si>
    <t>Go the distance in your BMW i Series this upcoming Eid Al Fitr. Swipe left to enjoy more electrifying drives between charge stops on your mudik travels. Learn more at the link in our bio. #EverlastingJOY</t>
  </si>
  <si>
    <t>https://d1fufsnuanxyqc.cloudfront.net/195487454216_828525279301727</t>
  </si>
  <si>
    <t>https://www.facebook.com/644655054355418/posts/828525279301727</t>
  </si>
  <si>
    <t>The sustainable future comes with The All-Electric i5. With the first BMW luxurious vegan interior, navigate the city in style, while making a difference. This includes the seats, the door panels, and even the steering wheel which are fitted with the high-quality leather alternative Veganza. Get in touch with your preferred authorized BMW dealer or visit bmw.co.id, to learn more about THE i5. #THEi5 #AllElectricBusinessSedan #EverlastingJOY</t>
  </si>
  <si>
    <t>https://d1fufsnuanxyqc.cloudfront.net/195487454216_836009725219949</t>
  </si>
  <si>
    <t>https://www.facebook.com/644655054355418/posts/836009725219949</t>
  </si>
  <si>
    <t>Instagram</t>
  </si>
  <si>
    <t>Dominate the road with THE NEW X5. Feel the dynamic luxury of every mile, empowered by cutting-edge tech. From the commanding road view to its elegant interiors, it's your pathway to excellence. Visit your preferred authorized BMW dealer to test drive or visit bmw.co.id to #BeTheBoss. #TheNewX5</t>
  </si>
  <si>
    <t>https://d1fufsnuanxyqc.cloudfront.net/195487454216_837240998430155</t>
  </si>
  <si>
    <t>https://www.facebook.com/644655054355418/posts/837240998430155</t>
  </si>
  <si>
    <t>BMW Indonesia is thrilled to announce remarkable sales results for the first quarter of 2024, with a total of 775 units sold. This achievement represents the highest number of units sold in the first quarter compared to previous years, reflecting our continued success in the Indonesian market. With the introduction of BMW iX1, BMW iX xDrive50, and the newest launch of BMW i5, our aim is to become the number one premium automotive brand in Indonesia and to lead the premium electric vehicle segment. Explore our diverse selection of BMW models at bmw.co.id or reach out to your preferred BMW authorized dealer for more information.</t>
  </si>
  <si>
    <t>https://d1fufsnuanxyqc.cloudfront.net/195487454216_841887314632190</t>
  </si>
  <si>
    <t>https://www.facebook.com/644655054355418/posts/841887314632190</t>
  </si>
  <si>
    <t>Anastasha Yanuar</t>
  </si>
  <si>
    <t>Take home THE 3 to enjoy effortless driving pleasure with the personalized features of BMW Connected Drive, allowing you to seamlessly integrate your mobile devices with your BMW's intelligent interfaces using the My BMW App.* Unlock unlimited offers with low installment start from Rp14 Mio, free gasoline voucher Rp10 Mio and save up to Rp50 Mio, for THE 320i M Sport. To learn more about #Legacy3volved, BMW Connected Drive, and My BMW App, connect with your preferred authorized BMW dealer or visit bmw.co.id. *Applicable for selected NIK2024 models.</t>
  </si>
  <si>
    <t>https://d1fufsnuanxyqc.cloudfront.net/195487454216_841901751297413</t>
  </si>
  <si>
    <t>https://www.facebook.com/644655054355418/posts/841901751297413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</si>
</sst>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644655054355418/posts/837240998430155" TargetMode="External"/><Relationship Id="rId22" Type="http://schemas.openxmlformats.org/officeDocument/2006/relationships/hyperlink" Target="https://www.facebook.com/644655054355418/posts/841887314632190" TargetMode="External"/><Relationship Id="rId21" Type="http://schemas.openxmlformats.org/officeDocument/2006/relationships/hyperlink" Target="https://d1fufsnuanxyqc.cloudfront.net/195487454216_841887314632190" TargetMode="External"/><Relationship Id="rId24" Type="http://schemas.openxmlformats.org/officeDocument/2006/relationships/hyperlink" Target="https://www.facebook.com/644655054355418/posts/841901751297413" TargetMode="External"/><Relationship Id="rId23" Type="http://schemas.openxmlformats.org/officeDocument/2006/relationships/hyperlink" Target="https://d1fufsnuanxyqc.cloudfront.net/195487454216_841901751297413" TargetMode="External"/><Relationship Id="rId1" Type="http://schemas.openxmlformats.org/officeDocument/2006/relationships/hyperlink" Target="https://d1fufsnuanxyqc.cloudfront.net/389627907174527" TargetMode="External"/><Relationship Id="rId2" Type="http://schemas.openxmlformats.org/officeDocument/2006/relationships/hyperlink" Target="https://www.facebook.com/reel/389627907174527/" TargetMode="External"/><Relationship Id="rId3" Type="http://schemas.openxmlformats.org/officeDocument/2006/relationships/hyperlink" Target="https://d1fufsnuanxyqc.cloudfront.net/2837819823038873" TargetMode="External"/><Relationship Id="rId4" Type="http://schemas.openxmlformats.org/officeDocument/2006/relationships/hyperlink" Target="https://www.facebook.com/reel/2837819823038873/" TargetMode="External"/><Relationship Id="rId9" Type="http://schemas.openxmlformats.org/officeDocument/2006/relationships/hyperlink" Target="https://d1fufsnuanxyqc.cloudfront.net/454020360392147" TargetMode="External"/><Relationship Id="rId25" Type="http://schemas.openxmlformats.org/officeDocument/2006/relationships/drawing" Target="../drawings/drawing1.xml"/><Relationship Id="rId5" Type="http://schemas.openxmlformats.org/officeDocument/2006/relationships/hyperlink" Target="https://d1fufsnuanxyqc.cloudfront.net/380239241657007" TargetMode="External"/><Relationship Id="rId6" Type="http://schemas.openxmlformats.org/officeDocument/2006/relationships/hyperlink" Target="https://www.facebook.com/reel/380239241657007/" TargetMode="External"/><Relationship Id="rId7" Type="http://schemas.openxmlformats.org/officeDocument/2006/relationships/hyperlink" Target="https://d1fufsnuanxyqc.cloudfront.net/945877026852877" TargetMode="External"/><Relationship Id="rId8" Type="http://schemas.openxmlformats.org/officeDocument/2006/relationships/hyperlink" Target="https://www.facebook.com/reel/945877026852877/" TargetMode="External"/><Relationship Id="rId11" Type="http://schemas.openxmlformats.org/officeDocument/2006/relationships/hyperlink" Target="https://d1fufsnuanxyqc.cloudfront.net/3943873465898787" TargetMode="External"/><Relationship Id="rId10" Type="http://schemas.openxmlformats.org/officeDocument/2006/relationships/hyperlink" Target="https://www.facebook.com/reel/454020360392147/" TargetMode="External"/><Relationship Id="rId13" Type="http://schemas.openxmlformats.org/officeDocument/2006/relationships/hyperlink" Target="https://d1fufsnuanxyqc.cloudfront.net/195487454216_828437225977199" TargetMode="External"/><Relationship Id="rId12" Type="http://schemas.openxmlformats.org/officeDocument/2006/relationships/hyperlink" Target="https://www.facebook.com/reel/3943873465898787/" TargetMode="External"/><Relationship Id="rId15" Type="http://schemas.openxmlformats.org/officeDocument/2006/relationships/hyperlink" Target="https://d1fufsnuanxyqc.cloudfront.net/195487454216_828525279301727" TargetMode="External"/><Relationship Id="rId14" Type="http://schemas.openxmlformats.org/officeDocument/2006/relationships/hyperlink" Target="https://www.facebook.com/644655054355418/posts/828437225977199" TargetMode="External"/><Relationship Id="rId17" Type="http://schemas.openxmlformats.org/officeDocument/2006/relationships/hyperlink" Target="https://d1fufsnuanxyqc.cloudfront.net/195487454216_836009725219949" TargetMode="External"/><Relationship Id="rId16" Type="http://schemas.openxmlformats.org/officeDocument/2006/relationships/hyperlink" Target="https://www.facebook.com/644655054355418/posts/828525279301727" TargetMode="External"/><Relationship Id="rId19" Type="http://schemas.openxmlformats.org/officeDocument/2006/relationships/hyperlink" Target="https://d1fufsnuanxyqc.cloudfront.net/195487454216_837240998430155" TargetMode="External"/><Relationship Id="rId18" Type="http://schemas.openxmlformats.org/officeDocument/2006/relationships/hyperlink" Target="https://www.facebook.com/644655054355418/posts/83600972521994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2"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c r="A2" s="1" t="s">
        <v>112</v>
      </c>
      <c r="B2" s="3">
        <v>45386.80284722222</v>
      </c>
      <c r="C2" s="3">
        <v>45414.44809027778</v>
      </c>
      <c r="D2" s="3">
        <v>45414.40638888889</v>
      </c>
      <c r="E2" s="1" t="s">
        <v>113</v>
      </c>
      <c r="F2" s="4" t="s">
        <v>114</v>
      </c>
      <c r="G2" s="4" t="s">
        <v>115</v>
      </c>
      <c r="H2" s="1" t="s">
        <v>116</v>
      </c>
      <c r="I2" s="1" t="s">
        <v>117</v>
      </c>
      <c r="J2" s="1">
        <v>0.0</v>
      </c>
      <c r="K2" s="1">
        <v>1161.0</v>
      </c>
      <c r="R2" s="1">
        <v>926.0</v>
      </c>
      <c r="Z2" s="1">
        <v>154225.0</v>
      </c>
      <c r="AA2" s="1">
        <v>27.0</v>
      </c>
      <c r="AC2" s="1">
        <v>27.0</v>
      </c>
      <c r="AF2" s="1">
        <v>24.0</v>
      </c>
      <c r="AM2" s="1">
        <v>17.0</v>
      </c>
      <c r="AN2" s="1">
        <v>7.0</v>
      </c>
      <c r="AO2" s="1">
        <v>0.0</v>
      </c>
      <c r="AP2" s="1">
        <v>0.0</v>
      </c>
      <c r="AQ2" s="1">
        <v>0.0</v>
      </c>
      <c r="AR2" s="1">
        <v>0.0</v>
      </c>
      <c r="BA2" s="1">
        <v>3698445.0</v>
      </c>
      <c r="BG2" s="1">
        <v>0.0</v>
      </c>
      <c r="BK2" s="1">
        <v>3.0</v>
      </c>
      <c r="BY2" s="1">
        <v>0.0232558139534883</v>
      </c>
      <c r="BZ2" s="1">
        <v>0.0232558139534883</v>
      </c>
      <c r="CC2" s="1">
        <v>0.029157667386609</v>
      </c>
      <c r="CF2" s="2">
        <v>0.0232558139534883</v>
      </c>
      <c r="CG2" s="1">
        <v>0.029157667386609</v>
      </c>
      <c r="CH2" s="1">
        <v>1.75068892851353E-4</v>
      </c>
      <c r="CI2" s="1">
        <v>1.75068892851353E-4</v>
      </c>
      <c r="CK2" s="1">
        <v>16283.0</v>
      </c>
      <c r="CL2" s="1">
        <v>3994.0</v>
      </c>
      <c r="CN2" s="1">
        <v>1.0</v>
      </c>
      <c r="CO2" s="1">
        <v>926.0</v>
      </c>
      <c r="DG2" s="1">
        <v>0.0</v>
      </c>
      <c r="DH2" s="1">
        <v>0.0</v>
      </c>
    </row>
    <row r="3">
      <c r="A3" s="1" t="s">
        <v>112</v>
      </c>
      <c r="B3" s="3">
        <v>45390.82625</v>
      </c>
      <c r="C3" s="3">
        <v>45414.44809027778</v>
      </c>
      <c r="D3" s="3">
        <v>45414.40638888889</v>
      </c>
      <c r="E3" s="1" t="s">
        <v>118</v>
      </c>
      <c r="F3" s="4" t="s">
        <v>119</v>
      </c>
      <c r="G3" s="4" t="s">
        <v>120</v>
      </c>
      <c r="H3" s="1" t="s">
        <v>116</v>
      </c>
      <c r="I3" s="1" t="s">
        <v>117</v>
      </c>
      <c r="J3" s="1">
        <v>0.0</v>
      </c>
      <c r="K3" s="1">
        <v>2273.0</v>
      </c>
      <c r="R3" s="1">
        <v>1988.0</v>
      </c>
      <c r="Z3" s="1">
        <v>154211.0</v>
      </c>
      <c r="AA3" s="1">
        <v>31.0</v>
      </c>
      <c r="AC3" s="1">
        <v>31.0</v>
      </c>
      <c r="AF3" s="1">
        <v>27.0</v>
      </c>
      <c r="AM3" s="1">
        <v>20.0</v>
      </c>
      <c r="AN3" s="1">
        <v>7.0</v>
      </c>
      <c r="AO3" s="1">
        <v>0.0</v>
      </c>
      <c r="AP3" s="1">
        <v>0.0</v>
      </c>
      <c r="AQ3" s="1">
        <v>0.0</v>
      </c>
      <c r="AR3" s="1">
        <v>0.0</v>
      </c>
      <c r="BA3" s="1">
        <v>1.791541E7</v>
      </c>
      <c r="BG3" s="1">
        <v>0.0</v>
      </c>
      <c r="BK3" s="1">
        <v>3.0</v>
      </c>
      <c r="BY3" s="1">
        <v>0.0136383633963924</v>
      </c>
      <c r="BZ3" s="1">
        <v>0.0136383633963924</v>
      </c>
      <c r="CC3" s="1">
        <v>0.0155935613682092</v>
      </c>
      <c r="CF3" s="2">
        <v>0.0136383633963924</v>
      </c>
      <c r="CG3" s="1">
        <v>0.0155935613682092</v>
      </c>
      <c r="CH3" s="1">
        <v>2.01023273307351E-4</v>
      </c>
      <c r="CI3" s="1">
        <v>2.01023273307351E-4</v>
      </c>
      <c r="CK3" s="1">
        <v>27666.0</v>
      </c>
      <c r="CL3" s="1">
        <v>9011.0</v>
      </c>
      <c r="CN3" s="1">
        <v>1.0</v>
      </c>
      <c r="CO3" s="1">
        <v>1988.0</v>
      </c>
      <c r="DG3" s="1">
        <v>0.0</v>
      </c>
      <c r="DH3" s="1">
        <v>0.0</v>
      </c>
    </row>
    <row r="4">
      <c r="A4" s="1" t="s">
        <v>112</v>
      </c>
      <c r="B4" s="3">
        <v>45391.69761574074</v>
      </c>
      <c r="C4" s="3">
        <v>45414.44809027778</v>
      </c>
      <c r="D4" s="3">
        <v>45414.40638888889</v>
      </c>
      <c r="E4" s="1" t="s">
        <v>121</v>
      </c>
      <c r="F4" s="4" t="s">
        <v>122</v>
      </c>
      <c r="G4" s="4" t="s">
        <v>123</v>
      </c>
      <c r="H4" s="1" t="s">
        <v>116</v>
      </c>
      <c r="I4" s="1" t="s">
        <v>117</v>
      </c>
      <c r="J4" s="1">
        <v>0.0</v>
      </c>
      <c r="K4" s="1">
        <v>1110.0</v>
      </c>
      <c r="R4" s="1">
        <v>880.0</v>
      </c>
      <c r="Z4" s="1">
        <v>154211.0</v>
      </c>
      <c r="AA4" s="1">
        <v>19.0</v>
      </c>
      <c r="AC4" s="1">
        <v>19.0</v>
      </c>
      <c r="AF4" s="1">
        <v>19.0</v>
      </c>
      <c r="AM4" s="1">
        <v>14.0</v>
      </c>
      <c r="AN4" s="1">
        <v>5.0</v>
      </c>
      <c r="AO4" s="1">
        <v>0.0</v>
      </c>
      <c r="AP4" s="1">
        <v>0.0</v>
      </c>
      <c r="AQ4" s="1">
        <v>0.0</v>
      </c>
      <c r="AR4" s="1">
        <v>0.0</v>
      </c>
      <c r="BA4" s="1">
        <v>3458219.0</v>
      </c>
      <c r="BG4" s="1">
        <v>0.0</v>
      </c>
      <c r="BK4" s="1">
        <v>0.0</v>
      </c>
      <c r="BY4" s="1">
        <v>0.0171171171171171</v>
      </c>
      <c r="BZ4" s="1">
        <v>0.0171171171171171</v>
      </c>
      <c r="CC4" s="1">
        <v>0.021590909090909</v>
      </c>
      <c r="CF4" s="2">
        <v>0.0171171171171171</v>
      </c>
      <c r="CG4" s="1">
        <v>0.021590909090909</v>
      </c>
      <c r="CH4" s="1">
        <v>1.23207812672247E-4</v>
      </c>
      <c r="CI4" s="1">
        <v>1.23207812672247E-4</v>
      </c>
      <c r="CK4" s="1">
        <v>20083.0</v>
      </c>
      <c r="CL4" s="1">
        <v>3929.0</v>
      </c>
      <c r="CN4" s="1">
        <v>1.0</v>
      </c>
      <c r="CO4" s="1">
        <v>880.0</v>
      </c>
      <c r="DG4" s="1">
        <v>0.0</v>
      </c>
      <c r="DH4" s="1">
        <v>0.0</v>
      </c>
    </row>
    <row r="5">
      <c r="A5" s="1" t="s">
        <v>112</v>
      </c>
      <c r="B5" s="3">
        <v>45391.833715277775</v>
      </c>
      <c r="C5" s="3">
        <v>45414.44809027778</v>
      </c>
      <c r="D5" s="3">
        <v>45414.40638888889</v>
      </c>
      <c r="E5" s="1" t="s">
        <v>124</v>
      </c>
      <c r="F5" s="4" t="s">
        <v>125</v>
      </c>
      <c r="G5" s="4" t="s">
        <v>126</v>
      </c>
      <c r="H5" s="1" t="s">
        <v>116</v>
      </c>
      <c r="I5" s="1" t="s">
        <v>117</v>
      </c>
      <c r="J5" s="1">
        <v>0.0</v>
      </c>
      <c r="K5" s="1">
        <v>995.0</v>
      </c>
      <c r="R5" s="1">
        <v>790.0</v>
      </c>
      <c r="Z5" s="1">
        <v>154211.0</v>
      </c>
      <c r="AA5" s="1">
        <v>17.0</v>
      </c>
      <c r="AC5" s="1">
        <v>17.0</v>
      </c>
      <c r="AF5" s="1">
        <v>14.0</v>
      </c>
      <c r="AM5" s="1">
        <v>10.0</v>
      </c>
      <c r="AN5" s="1">
        <v>4.0</v>
      </c>
      <c r="AO5" s="1">
        <v>0.0</v>
      </c>
      <c r="AP5" s="1">
        <v>0.0</v>
      </c>
      <c r="AQ5" s="1">
        <v>0.0</v>
      </c>
      <c r="AR5" s="1">
        <v>0.0</v>
      </c>
      <c r="BA5" s="1">
        <v>1958264.0</v>
      </c>
      <c r="BG5" s="1">
        <v>0.0</v>
      </c>
      <c r="BK5" s="1">
        <v>3.0</v>
      </c>
      <c r="BY5" s="1">
        <v>0.0170854271356783</v>
      </c>
      <c r="BZ5" s="1">
        <v>0.0170854271356783</v>
      </c>
      <c r="CC5" s="1">
        <v>0.0215189873417721</v>
      </c>
      <c r="CF5" s="2">
        <v>0.0170854271356783</v>
      </c>
      <c r="CG5" s="1">
        <v>0.0215189873417721</v>
      </c>
      <c r="CH5" s="1">
        <v>1.10238569233063E-4</v>
      </c>
      <c r="CI5" s="1">
        <v>1.10238569233063E-4</v>
      </c>
      <c r="CK5" s="1">
        <v>15082.0</v>
      </c>
      <c r="CL5" s="1">
        <v>2481.0</v>
      </c>
      <c r="CN5" s="1">
        <v>1.0</v>
      </c>
      <c r="CO5" s="1">
        <v>790.0</v>
      </c>
      <c r="DG5" s="1">
        <v>0.0</v>
      </c>
      <c r="DH5" s="1">
        <v>0.0</v>
      </c>
    </row>
    <row r="6">
      <c r="A6" s="1" t="s">
        <v>112</v>
      </c>
      <c r="B6" s="3">
        <v>45403.33425925926</v>
      </c>
      <c r="C6" s="3">
        <v>45414.44809027778</v>
      </c>
      <c r="D6" s="3">
        <v>45414.40638888889</v>
      </c>
      <c r="E6" s="1" t="s">
        <v>127</v>
      </c>
      <c r="F6" s="4" t="s">
        <v>128</v>
      </c>
      <c r="G6" s="4" t="s">
        <v>129</v>
      </c>
      <c r="H6" s="1" t="s">
        <v>116</v>
      </c>
      <c r="I6" s="1" t="s">
        <v>117</v>
      </c>
      <c r="J6" s="1">
        <v>0.0</v>
      </c>
      <c r="K6" s="1">
        <v>1276.0</v>
      </c>
      <c r="R6" s="1">
        <v>1162.0</v>
      </c>
      <c r="Z6" s="1">
        <v>154191.0</v>
      </c>
      <c r="AA6" s="1">
        <v>23.0</v>
      </c>
      <c r="AC6" s="1">
        <v>23.0</v>
      </c>
      <c r="AF6" s="1">
        <v>23.0</v>
      </c>
      <c r="AM6" s="1">
        <v>18.0</v>
      </c>
      <c r="AN6" s="1">
        <v>5.0</v>
      </c>
      <c r="AO6" s="1">
        <v>0.0</v>
      </c>
      <c r="AP6" s="1">
        <v>0.0</v>
      </c>
      <c r="AQ6" s="1">
        <v>0.0</v>
      </c>
      <c r="AR6" s="1">
        <v>0.0</v>
      </c>
      <c r="BA6" s="1">
        <v>4099783.0</v>
      </c>
      <c r="BG6" s="1">
        <v>0.0</v>
      </c>
      <c r="BK6" s="1">
        <v>0.0</v>
      </c>
      <c r="BY6" s="1">
        <v>0.0180250783699059</v>
      </c>
      <c r="BZ6" s="1">
        <v>0.0180250783699059</v>
      </c>
      <c r="CC6" s="1">
        <v>0.0197934595524956</v>
      </c>
      <c r="CF6" s="2">
        <v>0.0180250783699059</v>
      </c>
      <c r="CG6" s="1">
        <v>0.0197934595524956</v>
      </c>
      <c r="CH6" s="1">
        <v>1.4916564520627E-4</v>
      </c>
      <c r="CI6" s="1">
        <v>1.4916564520627E-4</v>
      </c>
      <c r="CK6" s="1">
        <v>25425.0</v>
      </c>
      <c r="CL6" s="1">
        <v>3534.0</v>
      </c>
      <c r="CN6" s="1">
        <v>1.0</v>
      </c>
      <c r="CO6" s="1">
        <v>1162.0</v>
      </c>
      <c r="DG6" s="1">
        <v>0.0</v>
      </c>
      <c r="DH6" s="1">
        <v>0.0</v>
      </c>
    </row>
    <row r="7">
      <c r="A7" s="1" t="s">
        <v>112</v>
      </c>
      <c r="B7" s="3">
        <v>45404.82894675926</v>
      </c>
      <c r="C7" s="3">
        <v>45414.44809027778</v>
      </c>
      <c r="D7" s="3">
        <v>45414.40638888889</v>
      </c>
      <c r="E7" s="1" t="s">
        <v>130</v>
      </c>
      <c r="F7" s="4" t="s">
        <v>131</v>
      </c>
      <c r="G7" s="4" t="s">
        <v>132</v>
      </c>
      <c r="H7" s="1" t="s">
        <v>116</v>
      </c>
      <c r="I7" s="1" t="s">
        <v>117</v>
      </c>
      <c r="J7" s="1">
        <v>0.0</v>
      </c>
      <c r="K7" s="1">
        <v>583.0</v>
      </c>
      <c r="R7" s="1">
        <v>505.0</v>
      </c>
      <c r="Z7" s="1">
        <v>154187.0</v>
      </c>
      <c r="AA7" s="1">
        <v>13.0</v>
      </c>
      <c r="AC7" s="1">
        <v>13.0</v>
      </c>
      <c r="AF7" s="1">
        <v>13.0</v>
      </c>
      <c r="AM7" s="1">
        <v>9.0</v>
      </c>
      <c r="AN7" s="1">
        <v>4.0</v>
      </c>
      <c r="AO7" s="1">
        <v>0.0</v>
      </c>
      <c r="AP7" s="1">
        <v>0.0</v>
      </c>
      <c r="AQ7" s="1">
        <v>0.0</v>
      </c>
      <c r="AR7" s="1">
        <v>0.0</v>
      </c>
      <c r="BA7" s="1">
        <v>2811110.0</v>
      </c>
      <c r="BG7" s="1">
        <v>0.0</v>
      </c>
      <c r="BK7" s="1">
        <v>0.0</v>
      </c>
      <c r="BY7" s="1">
        <v>0.0222984562607204</v>
      </c>
      <c r="BZ7" s="1">
        <v>0.0222984562607204</v>
      </c>
      <c r="CC7" s="1">
        <v>0.0257425742574257</v>
      </c>
      <c r="CF7" s="2">
        <v>0.0222984562607204</v>
      </c>
      <c r="CG7" s="1">
        <v>0.0257425742574257</v>
      </c>
      <c r="CH7" s="1">
        <v>8.43132040963245E-5</v>
      </c>
      <c r="CI7" s="1">
        <v>8.43132040963245E-5</v>
      </c>
      <c r="CK7" s="1">
        <v>32833.0</v>
      </c>
      <c r="CL7" s="1">
        <v>5588.0</v>
      </c>
      <c r="CN7" s="1">
        <v>1.0</v>
      </c>
      <c r="CO7" s="1">
        <v>505.0</v>
      </c>
      <c r="DG7" s="1">
        <v>0.0</v>
      </c>
      <c r="DH7" s="1">
        <v>0.0</v>
      </c>
    </row>
    <row r="8">
      <c r="A8" s="1" t="s">
        <v>112</v>
      </c>
      <c r="B8" s="3">
        <v>45387.81133101852</v>
      </c>
      <c r="C8" s="3">
        <v>45414.44809027778</v>
      </c>
      <c r="D8" s="3">
        <v>45401.88452546296</v>
      </c>
      <c r="E8" s="1" t="s">
        <v>133</v>
      </c>
      <c r="F8" s="4" t="s">
        <v>134</v>
      </c>
      <c r="G8" s="4" t="s">
        <v>135</v>
      </c>
      <c r="H8" s="1" t="s">
        <v>136</v>
      </c>
      <c r="I8" s="1" t="s">
        <v>137</v>
      </c>
      <c r="J8" s="1">
        <v>0.0</v>
      </c>
      <c r="K8" s="1">
        <v>3612.0</v>
      </c>
      <c r="L8" s="1">
        <v>0.0</v>
      </c>
      <c r="M8" s="1">
        <v>3612.0</v>
      </c>
      <c r="N8" s="1">
        <v>3.0</v>
      </c>
      <c r="O8" s="1">
        <v>3601.0</v>
      </c>
      <c r="P8" s="1">
        <v>3140.0</v>
      </c>
      <c r="Q8" s="1">
        <v>0.0203593357928794</v>
      </c>
      <c r="R8" s="1">
        <v>3636.0</v>
      </c>
      <c r="S8" s="1">
        <v>0.0</v>
      </c>
      <c r="T8" s="1">
        <v>3636.0</v>
      </c>
      <c r="U8" s="1">
        <v>3.0</v>
      </c>
      <c r="V8" s="1">
        <v>3633.0</v>
      </c>
      <c r="W8" s="1">
        <v>133.0</v>
      </c>
      <c r="X8" s="1">
        <v>94.0</v>
      </c>
      <c r="Y8" s="1">
        <v>39.0</v>
      </c>
      <c r="Z8" s="1">
        <v>154229.0</v>
      </c>
      <c r="AA8" s="1">
        <v>35.0</v>
      </c>
      <c r="AB8" s="1">
        <v>34.0</v>
      </c>
      <c r="AC8" s="1">
        <v>174.0</v>
      </c>
      <c r="AD8" s="1">
        <v>35.0</v>
      </c>
      <c r="AE8" s="1">
        <v>0.0</v>
      </c>
      <c r="AF8" s="1">
        <v>33.0</v>
      </c>
      <c r="AG8" s="1">
        <v>22.0</v>
      </c>
      <c r="AH8" s="1">
        <v>9.0</v>
      </c>
      <c r="AI8" s="1">
        <v>0.0</v>
      </c>
      <c r="AJ8" s="1">
        <v>0.0</v>
      </c>
      <c r="AK8" s="1">
        <v>0.0</v>
      </c>
      <c r="AL8" s="1">
        <v>0.0</v>
      </c>
      <c r="AM8" s="1">
        <v>23.0</v>
      </c>
      <c r="AN8" s="1">
        <v>10.0</v>
      </c>
      <c r="AO8" s="1">
        <v>0.0</v>
      </c>
      <c r="AP8" s="1">
        <v>0.0</v>
      </c>
      <c r="AQ8" s="1">
        <v>0.0</v>
      </c>
      <c r="AR8" s="1">
        <v>0.0</v>
      </c>
      <c r="AS8" s="1">
        <v>0.0</v>
      </c>
      <c r="AT8" s="1">
        <v>0.0</v>
      </c>
      <c r="AU8" s="1">
        <v>3130.0</v>
      </c>
      <c r="BD8" s="1">
        <v>33.0</v>
      </c>
      <c r="BE8" s="1">
        <v>0.0</v>
      </c>
      <c r="BF8" s="1">
        <v>31.0</v>
      </c>
      <c r="BG8" s="1">
        <v>1.0</v>
      </c>
      <c r="BH8" s="1">
        <v>1.0</v>
      </c>
      <c r="BI8" s="1">
        <v>0.0</v>
      </c>
      <c r="BJ8" s="1">
        <v>1.0</v>
      </c>
      <c r="BK8" s="1">
        <v>2.0</v>
      </c>
      <c r="BL8" s="1">
        <v>2.0</v>
      </c>
      <c r="BM8" s="1">
        <v>0.0</v>
      </c>
      <c r="BN8" s="1">
        <v>2.0</v>
      </c>
      <c r="BO8" s="1">
        <v>139.0</v>
      </c>
      <c r="BQ8" s="1">
        <v>101.0</v>
      </c>
      <c r="BS8" s="1">
        <v>38.0</v>
      </c>
      <c r="BT8" s="1">
        <v>0.0</v>
      </c>
      <c r="BU8" s="1">
        <v>0.0</v>
      </c>
      <c r="BV8" s="1">
        <v>0.0</v>
      </c>
      <c r="BW8" s="1">
        <v>0.0</v>
      </c>
      <c r="BX8" s="1">
        <v>0.0</v>
      </c>
      <c r="BY8" s="1">
        <v>0.0368217054263565</v>
      </c>
      <c r="BZ8" s="1">
        <v>0.00968992248062015</v>
      </c>
      <c r="CB8" s="1">
        <v>0.00971143174250832</v>
      </c>
      <c r="CC8" s="1">
        <v>0.00962596259625962</v>
      </c>
      <c r="CE8" s="1">
        <v>0.00962596259625962</v>
      </c>
      <c r="CF8" s="2">
        <v>0.048172757475083</v>
      </c>
      <c r="CG8" s="1">
        <v>0.0478547854785478</v>
      </c>
      <c r="CH8" s="1">
        <v>0.00112819249298121</v>
      </c>
      <c r="CI8" s="1">
        <v>2.26935271576681E-4</v>
      </c>
      <c r="DG8" s="1">
        <v>0.0</v>
      </c>
      <c r="DH8" s="1">
        <v>0.0</v>
      </c>
    </row>
    <row r="9">
      <c r="A9" s="1" t="s">
        <v>112</v>
      </c>
      <c r="B9" s="3">
        <v>45389.75056712963</v>
      </c>
      <c r="C9" s="3">
        <v>45414.44809027778</v>
      </c>
      <c r="D9" s="3">
        <v>45403.68324074074</v>
      </c>
      <c r="E9" s="1" t="s">
        <v>138</v>
      </c>
      <c r="F9" s="4" t="s">
        <v>139</v>
      </c>
      <c r="G9" s="4" t="s">
        <v>140</v>
      </c>
      <c r="H9" s="1" t="s">
        <v>136</v>
      </c>
      <c r="I9" s="1" t="s">
        <v>137</v>
      </c>
      <c r="J9" s="1">
        <v>0.0</v>
      </c>
      <c r="K9" s="1">
        <v>3006.0</v>
      </c>
      <c r="L9" s="1">
        <v>0.0</v>
      </c>
      <c r="M9" s="1">
        <v>3006.0</v>
      </c>
      <c r="N9" s="1">
        <v>7.0</v>
      </c>
      <c r="O9" s="1">
        <v>2997.0</v>
      </c>
      <c r="P9" s="1">
        <v>2612.0</v>
      </c>
      <c r="Q9" s="1">
        <v>0.0169367336484655</v>
      </c>
      <c r="R9" s="1">
        <v>3084.0</v>
      </c>
      <c r="S9" s="1">
        <v>0.0</v>
      </c>
      <c r="T9" s="1">
        <v>3084.0</v>
      </c>
      <c r="U9" s="1">
        <v>7.0</v>
      </c>
      <c r="V9" s="1">
        <v>3077.0</v>
      </c>
      <c r="W9" s="1">
        <v>69.0</v>
      </c>
      <c r="X9" s="1">
        <v>46.0</v>
      </c>
      <c r="Y9" s="1">
        <v>23.0</v>
      </c>
      <c r="Z9" s="1">
        <v>154221.0</v>
      </c>
      <c r="AA9" s="1">
        <v>34.0</v>
      </c>
      <c r="AB9" s="1">
        <v>34.0</v>
      </c>
      <c r="AC9" s="1">
        <v>89.0</v>
      </c>
      <c r="AD9" s="1">
        <v>34.0</v>
      </c>
      <c r="AE9" s="1">
        <v>0.0</v>
      </c>
      <c r="AF9" s="1">
        <v>32.0</v>
      </c>
      <c r="AG9" s="1">
        <v>23.0</v>
      </c>
      <c r="AH9" s="1">
        <v>8.0</v>
      </c>
      <c r="AI9" s="1">
        <v>0.0</v>
      </c>
      <c r="AJ9" s="1">
        <v>0.0</v>
      </c>
      <c r="AK9" s="1">
        <v>0.0</v>
      </c>
      <c r="AL9" s="1">
        <v>0.0</v>
      </c>
      <c r="AM9" s="1">
        <v>23.0</v>
      </c>
      <c r="AN9" s="1">
        <v>9.0</v>
      </c>
      <c r="AO9" s="1">
        <v>0.0</v>
      </c>
      <c r="AP9" s="1">
        <v>0.0</v>
      </c>
      <c r="AQ9" s="1">
        <v>0.0</v>
      </c>
      <c r="AR9" s="1">
        <v>0.0</v>
      </c>
      <c r="AS9" s="1">
        <v>0.0</v>
      </c>
      <c r="AT9" s="1">
        <v>0.0</v>
      </c>
      <c r="AU9" s="1">
        <v>2619.0</v>
      </c>
      <c r="BD9" s="1">
        <v>32.0</v>
      </c>
      <c r="BE9" s="1">
        <v>0.0</v>
      </c>
      <c r="BF9" s="1">
        <v>31.0</v>
      </c>
      <c r="BG9" s="1">
        <v>0.0</v>
      </c>
      <c r="BH9" s="1">
        <v>0.0</v>
      </c>
      <c r="BI9" s="1">
        <v>0.0</v>
      </c>
      <c r="BJ9" s="1">
        <v>0.0</v>
      </c>
      <c r="BK9" s="1">
        <v>3.0</v>
      </c>
      <c r="BL9" s="1">
        <v>3.0</v>
      </c>
      <c r="BM9" s="1">
        <v>0.0</v>
      </c>
      <c r="BN9" s="1">
        <v>3.0</v>
      </c>
      <c r="BO9" s="1">
        <v>55.0</v>
      </c>
      <c r="BQ9" s="1">
        <v>42.0</v>
      </c>
      <c r="BS9" s="1">
        <v>13.0</v>
      </c>
      <c r="BT9" s="1">
        <v>0.0</v>
      </c>
      <c r="BU9" s="1">
        <v>0.0</v>
      </c>
      <c r="BV9" s="1">
        <v>0.0</v>
      </c>
      <c r="BW9" s="1">
        <v>0.0</v>
      </c>
      <c r="BX9" s="1">
        <v>0.0</v>
      </c>
      <c r="BY9" s="1">
        <v>0.0229540918163672</v>
      </c>
      <c r="BZ9" s="1">
        <v>0.0113107119095143</v>
      </c>
      <c r="CB9" s="1">
        <v>0.0113182423435419</v>
      </c>
      <c r="CC9" s="1">
        <v>0.0110246433203631</v>
      </c>
      <c r="CE9" s="1">
        <v>0.0110246433203631</v>
      </c>
      <c r="CF9" s="2">
        <v>0.0296074517631403</v>
      </c>
      <c r="CG9" s="1">
        <v>0.0288586251621271</v>
      </c>
      <c r="CH9" s="1">
        <v>5.77093910686612E-4</v>
      </c>
      <c r="CI9" s="1">
        <v>2.20462842284773E-4</v>
      </c>
      <c r="DG9" s="1">
        <v>0.0</v>
      </c>
      <c r="DH9" s="1">
        <v>0.0</v>
      </c>
    </row>
    <row r="10">
      <c r="A10" s="1" t="s">
        <v>112</v>
      </c>
      <c r="B10" s="3">
        <v>45399.80207175926</v>
      </c>
      <c r="C10" s="3">
        <v>45414.44809027778</v>
      </c>
      <c r="D10" s="3">
        <v>45413.438043981485</v>
      </c>
      <c r="E10" s="1" t="s">
        <v>141</v>
      </c>
      <c r="F10" s="4" t="s">
        <v>142</v>
      </c>
      <c r="G10" s="4" t="s">
        <v>143</v>
      </c>
      <c r="H10" s="1" t="s">
        <v>136</v>
      </c>
      <c r="I10" s="1" t="s">
        <v>144</v>
      </c>
      <c r="J10" s="1">
        <v>0.0</v>
      </c>
      <c r="K10" s="1">
        <v>2667.0</v>
      </c>
      <c r="L10" s="1">
        <v>0.0</v>
      </c>
      <c r="M10" s="1">
        <v>2667.0</v>
      </c>
      <c r="N10" s="1">
        <v>3.0</v>
      </c>
      <c r="O10" s="1">
        <v>2663.0</v>
      </c>
      <c r="P10" s="1">
        <v>2294.0</v>
      </c>
      <c r="Q10" s="1">
        <v>0.0148768798760043</v>
      </c>
      <c r="R10" s="1">
        <v>2682.0</v>
      </c>
      <c r="S10" s="1">
        <v>0.0</v>
      </c>
      <c r="T10" s="1">
        <v>2682.0</v>
      </c>
      <c r="U10" s="1">
        <v>4.0</v>
      </c>
      <c r="V10" s="1">
        <v>2678.0</v>
      </c>
      <c r="W10" s="1">
        <v>65.0</v>
      </c>
      <c r="X10" s="1">
        <v>50.0</v>
      </c>
      <c r="Y10" s="1">
        <v>15.0</v>
      </c>
      <c r="Z10" s="1">
        <v>154199.0</v>
      </c>
      <c r="AA10" s="1">
        <v>31.0</v>
      </c>
      <c r="AB10" s="1">
        <v>31.0</v>
      </c>
      <c r="AC10" s="1">
        <v>77.0</v>
      </c>
      <c r="AD10" s="1">
        <v>31.0</v>
      </c>
      <c r="AE10" s="1">
        <v>0.0</v>
      </c>
      <c r="AF10" s="1">
        <v>30.0</v>
      </c>
      <c r="AG10" s="1">
        <v>23.0</v>
      </c>
      <c r="AH10" s="1">
        <v>7.0</v>
      </c>
      <c r="AI10" s="1">
        <v>0.0</v>
      </c>
      <c r="AJ10" s="1">
        <v>0.0</v>
      </c>
      <c r="AK10" s="1">
        <v>0.0</v>
      </c>
      <c r="AL10" s="1">
        <v>0.0</v>
      </c>
      <c r="AM10" s="1">
        <v>23.0</v>
      </c>
      <c r="AN10" s="1">
        <v>7.0</v>
      </c>
      <c r="AO10" s="1">
        <v>0.0</v>
      </c>
      <c r="AP10" s="1">
        <v>0.0</v>
      </c>
      <c r="AQ10" s="1">
        <v>0.0</v>
      </c>
      <c r="AR10" s="1">
        <v>0.0</v>
      </c>
      <c r="AS10" s="1">
        <v>0.0</v>
      </c>
      <c r="AT10" s="1">
        <v>0.0</v>
      </c>
      <c r="AU10" s="1">
        <v>2325.0</v>
      </c>
      <c r="BD10" s="1">
        <v>30.0</v>
      </c>
      <c r="BE10" s="1">
        <v>0.0</v>
      </c>
      <c r="BF10" s="1">
        <v>30.0</v>
      </c>
      <c r="BG10" s="1">
        <v>0.0</v>
      </c>
      <c r="BH10" s="1">
        <v>0.0</v>
      </c>
      <c r="BI10" s="1">
        <v>0.0</v>
      </c>
      <c r="BJ10" s="1">
        <v>0.0</v>
      </c>
      <c r="BK10" s="1">
        <v>1.0</v>
      </c>
      <c r="BL10" s="1">
        <v>1.0</v>
      </c>
      <c r="BM10" s="1">
        <v>0.0</v>
      </c>
      <c r="BN10" s="1">
        <v>1.0</v>
      </c>
      <c r="BO10" s="1">
        <v>46.0</v>
      </c>
      <c r="BQ10" s="1">
        <v>36.0</v>
      </c>
      <c r="BS10" s="1">
        <v>10.0</v>
      </c>
      <c r="BT10" s="1">
        <v>0.0</v>
      </c>
      <c r="BU10" s="1">
        <v>0.0</v>
      </c>
      <c r="BV10" s="1">
        <v>0.0</v>
      </c>
      <c r="BW10" s="1">
        <v>0.0</v>
      </c>
      <c r="BX10" s="1">
        <v>0.0</v>
      </c>
      <c r="BY10" s="1">
        <v>0.0243719535058117</v>
      </c>
      <c r="BZ10" s="1">
        <v>0.0116235470566179</v>
      </c>
      <c r="CB10" s="1">
        <v>0.0116279069767441</v>
      </c>
      <c r="CC10" s="1">
        <v>0.0115585384041759</v>
      </c>
      <c r="CE10" s="1">
        <v>0.0115585384041759</v>
      </c>
      <c r="CF10" s="2">
        <v>0.0288713910761154</v>
      </c>
      <c r="CG10" s="1">
        <v>0.0287099179716629</v>
      </c>
      <c r="CH10" s="1">
        <v>4.99354729926912E-4</v>
      </c>
      <c r="CI10" s="1">
        <v>2.01038917243302E-4</v>
      </c>
      <c r="DG10" s="1">
        <v>0.0</v>
      </c>
      <c r="DH10" s="1">
        <v>0.0</v>
      </c>
    </row>
    <row r="11">
      <c r="A11" s="1" t="s">
        <v>112</v>
      </c>
      <c r="B11" s="3">
        <v>45401.79295138889</v>
      </c>
      <c r="C11" s="3">
        <v>45414.44809027778</v>
      </c>
      <c r="D11" s="3">
        <v>45414.40623842592</v>
      </c>
      <c r="E11" s="1" t="s">
        <v>145</v>
      </c>
      <c r="F11" s="4" t="s">
        <v>146</v>
      </c>
      <c r="G11" s="4" t="s">
        <v>147</v>
      </c>
      <c r="H11" s="1" t="s">
        <v>136</v>
      </c>
      <c r="I11" s="1" t="s">
        <v>137</v>
      </c>
      <c r="J11" s="1">
        <v>0.0</v>
      </c>
      <c r="K11" s="1">
        <v>2993.0</v>
      </c>
      <c r="L11" s="1">
        <v>0.0</v>
      </c>
      <c r="M11" s="1">
        <v>2993.0</v>
      </c>
      <c r="N11" s="1">
        <v>10.0</v>
      </c>
      <c r="O11" s="1">
        <v>2984.0</v>
      </c>
      <c r="P11" s="1">
        <v>2674.0</v>
      </c>
      <c r="Q11" s="1">
        <v>0.017341565280552</v>
      </c>
      <c r="R11" s="1">
        <v>3116.0</v>
      </c>
      <c r="S11" s="1">
        <v>0.0</v>
      </c>
      <c r="T11" s="1">
        <v>3116.0</v>
      </c>
      <c r="U11" s="1">
        <v>10.0</v>
      </c>
      <c r="V11" s="1">
        <v>3106.0</v>
      </c>
      <c r="W11" s="1">
        <v>105.0</v>
      </c>
      <c r="X11" s="1">
        <v>76.0</v>
      </c>
      <c r="Y11" s="1">
        <v>29.0</v>
      </c>
      <c r="Z11" s="1">
        <v>154196.0</v>
      </c>
      <c r="AA11" s="1">
        <v>37.0</v>
      </c>
      <c r="AB11" s="1">
        <v>36.0</v>
      </c>
      <c r="AC11" s="1">
        <v>127.0</v>
      </c>
      <c r="AD11" s="1">
        <v>37.0</v>
      </c>
      <c r="AE11" s="1">
        <v>0.0</v>
      </c>
      <c r="AF11" s="1">
        <v>36.0</v>
      </c>
      <c r="AG11" s="1">
        <v>23.0</v>
      </c>
      <c r="AH11" s="1">
        <v>12.0</v>
      </c>
      <c r="AI11" s="1">
        <v>0.0</v>
      </c>
      <c r="AJ11" s="1">
        <v>0.0</v>
      </c>
      <c r="AK11" s="1">
        <v>0.0</v>
      </c>
      <c r="AL11" s="1">
        <v>0.0</v>
      </c>
      <c r="AM11" s="1">
        <v>24.0</v>
      </c>
      <c r="AN11" s="1">
        <v>12.0</v>
      </c>
      <c r="AO11" s="1">
        <v>0.0</v>
      </c>
      <c r="AP11" s="1">
        <v>0.0</v>
      </c>
      <c r="AQ11" s="1">
        <v>0.0</v>
      </c>
      <c r="AR11" s="1">
        <v>0.0</v>
      </c>
      <c r="AS11" s="1">
        <v>0.0</v>
      </c>
      <c r="AT11" s="1">
        <v>0.0</v>
      </c>
      <c r="AU11" s="1">
        <v>2699.0</v>
      </c>
      <c r="BD11" s="1">
        <v>36.0</v>
      </c>
      <c r="BE11" s="1">
        <v>0.0</v>
      </c>
      <c r="BF11" s="1">
        <v>35.0</v>
      </c>
      <c r="BG11" s="1">
        <v>0.0</v>
      </c>
      <c r="BH11" s="1">
        <v>0.0</v>
      </c>
      <c r="BI11" s="1">
        <v>0.0</v>
      </c>
      <c r="BJ11" s="1">
        <v>0.0</v>
      </c>
      <c r="BK11" s="1">
        <v>1.0</v>
      </c>
      <c r="BL11" s="1">
        <v>1.0</v>
      </c>
      <c r="BM11" s="1">
        <v>0.0</v>
      </c>
      <c r="BN11" s="1">
        <v>1.0</v>
      </c>
      <c r="BO11" s="1">
        <v>90.0</v>
      </c>
      <c r="BQ11" s="1">
        <v>76.0</v>
      </c>
      <c r="BS11" s="1">
        <v>14.0</v>
      </c>
      <c r="BT11" s="1">
        <v>0.0</v>
      </c>
      <c r="BU11" s="1">
        <v>0.0</v>
      </c>
      <c r="BV11" s="1">
        <v>0.0</v>
      </c>
      <c r="BW11" s="1">
        <v>0.0</v>
      </c>
      <c r="BX11" s="1">
        <v>0.0</v>
      </c>
      <c r="BY11" s="1">
        <v>0.0350818576678917</v>
      </c>
      <c r="BZ11" s="1">
        <v>0.0123621784163047</v>
      </c>
      <c r="CB11" s="1">
        <v>0.0123580494321977</v>
      </c>
      <c r="CC11" s="1">
        <v>0.0118741976893453</v>
      </c>
      <c r="CE11" s="1">
        <v>0.0118741976893453</v>
      </c>
      <c r="CF11" s="2">
        <v>0.0424323421316404</v>
      </c>
      <c r="CG11" s="1">
        <v>0.0407573812580231</v>
      </c>
      <c r="CH11" s="1">
        <v>8.23627072038185E-4</v>
      </c>
      <c r="CI11" s="1">
        <v>2.39954343822148E-4</v>
      </c>
      <c r="DG11" s="1">
        <v>0.0</v>
      </c>
      <c r="DH11" s="1">
        <v>0.0</v>
      </c>
    </row>
    <row r="12">
      <c r="A12" s="1" t="s">
        <v>112</v>
      </c>
      <c r="B12" s="3">
        <v>45408.82729166667</v>
      </c>
      <c r="C12" s="3">
        <v>45414.44809027778</v>
      </c>
      <c r="D12" s="3">
        <v>45414.40623842592</v>
      </c>
      <c r="E12" s="1" t="s">
        <v>148</v>
      </c>
      <c r="F12" s="4" t="s">
        <v>149</v>
      </c>
      <c r="G12" s="4" t="s">
        <v>150</v>
      </c>
      <c r="H12" s="1" t="s">
        <v>136</v>
      </c>
      <c r="I12" s="1" t="s">
        <v>151</v>
      </c>
      <c r="J12" s="1">
        <v>0.0</v>
      </c>
      <c r="K12" s="1">
        <v>1884.0</v>
      </c>
      <c r="L12" s="1">
        <v>0.0</v>
      </c>
      <c r="M12" s="1">
        <v>1884.0</v>
      </c>
      <c r="N12" s="1">
        <v>2.0</v>
      </c>
      <c r="O12" s="1">
        <v>1892.0</v>
      </c>
      <c r="P12" s="1">
        <v>1655.0</v>
      </c>
      <c r="Q12" s="1">
        <v>0.0107345548889249</v>
      </c>
      <c r="R12" s="1">
        <v>1884.0</v>
      </c>
      <c r="S12" s="1">
        <v>0.0</v>
      </c>
      <c r="T12" s="1">
        <v>1884.0</v>
      </c>
      <c r="U12" s="1">
        <v>2.0</v>
      </c>
      <c r="V12" s="1">
        <v>1882.0</v>
      </c>
      <c r="W12" s="1">
        <v>27.0</v>
      </c>
      <c r="X12" s="1">
        <v>17.0</v>
      </c>
      <c r="Y12" s="1">
        <v>10.0</v>
      </c>
      <c r="Z12" s="1">
        <v>154175.0</v>
      </c>
      <c r="AA12" s="1">
        <v>17.0</v>
      </c>
      <c r="AB12" s="1">
        <v>17.0</v>
      </c>
      <c r="AC12" s="1">
        <v>30.0</v>
      </c>
      <c r="AD12" s="1">
        <v>17.0</v>
      </c>
      <c r="AE12" s="1">
        <v>0.0</v>
      </c>
      <c r="AF12" s="1">
        <v>16.0</v>
      </c>
      <c r="AG12" s="1">
        <v>11.0</v>
      </c>
      <c r="AH12" s="1">
        <v>5.0</v>
      </c>
      <c r="AI12" s="1">
        <v>0.0</v>
      </c>
      <c r="AJ12" s="1">
        <v>0.0</v>
      </c>
      <c r="AK12" s="1">
        <v>0.0</v>
      </c>
      <c r="AL12" s="1">
        <v>0.0</v>
      </c>
      <c r="AM12" s="1">
        <v>11.0</v>
      </c>
      <c r="AN12" s="1">
        <v>5.0</v>
      </c>
      <c r="AO12" s="1">
        <v>0.0</v>
      </c>
      <c r="AP12" s="1">
        <v>0.0</v>
      </c>
      <c r="AQ12" s="1">
        <v>0.0</v>
      </c>
      <c r="AR12" s="1">
        <v>0.0</v>
      </c>
      <c r="AS12" s="1">
        <v>0.0</v>
      </c>
      <c r="AT12" s="1">
        <v>0.0</v>
      </c>
      <c r="AU12" s="1">
        <v>1623.0</v>
      </c>
      <c r="BD12" s="1">
        <v>16.0</v>
      </c>
      <c r="BE12" s="1">
        <v>0.0</v>
      </c>
      <c r="BF12" s="1">
        <v>16.0</v>
      </c>
      <c r="BG12" s="1">
        <v>0.0</v>
      </c>
      <c r="BH12" s="1">
        <v>0.0</v>
      </c>
      <c r="BI12" s="1">
        <v>0.0</v>
      </c>
      <c r="BJ12" s="1">
        <v>0.0</v>
      </c>
      <c r="BK12" s="1">
        <v>1.0</v>
      </c>
      <c r="BL12" s="1">
        <v>1.0</v>
      </c>
      <c r="BM12" s="1">
        <v>0.0</v>
      </c>
      <c r="BN12" s="1">
        <v>1.0</v>
      </c>
      <c r="BO12" s="1">
        <v>13.0</v>
      </c>
      <c r="BQ12" s="1">
        <v>5.0</v>
      </c>
      <c r="BS12" s="1">
        <v>8.0</v>
      </c>
      <c r="BT12" s="1">
        <v>0.0</v>
      </c>
      <c r="BU12" s="1">
        <v>0.0</v>
      </c>
      <c r="BV12" s="1">
        <v>0.0</v>
      </c>
      <c r="BW12" s="1">
        <v>0.0</v>
      </c>
      <c r="BX12" s="1">
        <v>0.0</v>
      </c>
      <c r="BY12" s="1">
        <v>0.0143312101910828</v>
      </c>
      <c r="BZ12" s="1">
        <v>0.00902335456475583</v>
      </c>
      <c r="CB12" s="1">
        <v>0.00897571277719113</v>
      </c>
      <c r="CC12" s="1">
        <v>0.00902335456475583</v>
      </c>
      <c r="CE12" s="1">
        <v>0.00902335456475583</v>
      </c>
      <c r="CF12" s="2">
        <v>0.0159235668789808</v>
      </c>
      <c r="CG12" s="1">
        <v>0.0159235668789808</v>
      </c>
      <c r="CH12" s="1">
        <v>1.94584076536403E-4</v>
      </c>
      <c r="CI12" s="1">
        <v>1.10264310037295E-4</v>
      </c>
      <c r="DG12" s="1">
        <v>0.0</v>
      </c>
      <c r="DH12" s="1">
        <v>0.0</v>
      </c>
    </row>
    <row r="13">
      <c r="A13" s="1" t="s">
        <v>112</v>
      </c>
      <c r="B13" s="3">
        <v>45408.85773148148</v>
      </c>
      <c r="C13" s="3">
        <v>45414.44809027778</v>
      </c>
      <c r="D13" s="3">
        <v>45414.40623842592</v>
      </c>
      <c r="E13" s="1" t="s">
        <v>152</v>
      </c>
      <c r="F13" s="4" t="s">
        <v>153</v>
      </c>
      <c r="G13" s="4" t="s">
        <v>154</v>
      </c>
      <c r="H13" s="1" t="s">
        <v>136</v>
      </c>
      <c r="I13" s="1" t="s">
        <v>137</v>
      </c>
      <c r="J13" s="1">
        <v>0.0</v>
      </c>
      <c r="K13" s="1">
        <v>2460.0</v>
      </c>
      <c r="L13" s="1">
        <v>0.0</v>
      </c>
      <c r="M13" s="1">
        <v>2460.0</v>
      </c>
      <c r="N13" s="1">
        <v>0.0</v>
      </c>
      <c r="O13" s="1">
        <v>2460.0</v>
      </c>
      <c r="P13" s="1">
        <v>2135.0</v>
      </c>
      <c r="Q13" s="1">
        <v>0.0138479001135073</v>
      </c>
      <c r="R13" s="1">
        <v>2496.0</v>
      </c>
      <c r="S13" s="1">
        <v>0.0</v>
      </c>
      <c r="T13" s="1">
        <v>2496.0</v>
      </c>
      <c r="U13" s="1">
        <v>0.0</v>
      </c>
      <c r="V13" s="1">
        <v>2496.0</v>
      </c>
      <c r="W13" s="1">
        <v>52.0</v>
      </c>
      <c r="X13" s="1">
        <v>31.0</v>
      </c>
      <c r="Y13" s="1">
        <v>21.0</v>
      </c>
      <c r="Z13" s="1">
        <v>154175.0</v>
      </c>
      <c r="AA13" s="1">
        <v>19.0</v>
      </c>
      <c r="AB13" s="1">
        <v>18.0</v>
      </c>
      <c r="AC13" s="1">
        <v>66.0</v>
      </c>
      <c r="AD13" s="1">
        <v>19.0</v>
      </c>
      <c r="AE13" s="1">
        <v>0.0</v>
      </c>
      <c r="AF13" s="1">
        <v>19.0</v>
      </c>
      <c r="AG13" s="1">
        <v>11.0</v>
      </c>
      <c r="AH13" s="1">
        <v>7.0</v>
      </c>
      <c r="AI13" s="1">
        <v>0.0</v>
      </c>
      <c r="AJ13" s="1">
        <v>0.0</v>
      </c>
      <c r="AK13" s="1">
        <v>0.0</v>
      </c>
      <c r="AL13" s="1">
        <v>0.0</v>
      </c>
      <c r="AM13" s="1">
        <v>12.0</v>
      </c>
      <c r="AN13" s="1">
        <v>7.0</v>
      </c>
      <c r="AO13" s="1">
        <v>0.0</v>
      </c>
      <c r="AP13" s="1">
        <v>0.0</v>
      </c>
      <c r="AQ13" s="1">
        <v>0.0</v>
      </c>
      <c r="AR13" s="1">
        <v>0.0</v>
      </c>
      <c r="AS13" s="1">
        <v>0.0</v>
      </c>
      <c r="AT13" s="1">
        <v>0.0</v>
      </c>
      <c r="AU13" s="1">
        <v>2146.0</v>
      </c>
      <c r="BD13" s="1">
        <v>19.0</v>
      </c>
      <c r="BE13" s="1">
        <v>0.0</v>
      </c>
      <c r="BF13" s="1">
        <v>18.0</v>
      </c>
      <c r="BG13" s="1">
        <v>0.0</v>
      </c>
      <c r="BH13" s="1">
        <v>0.0</v>
      </c>
      <c r="BI13" s="1">
        <v>0.0</v>
      </c>
      <c r="BJ13" s="1">
        <v>0.0</v>
      </c>
      <c r="BK13" s="1">
        <v>0.0</v>
      </c>
      <c r="BL13" s="1">
        <v>0.0</v>
      </c>
      <c r="BM13" s="1">
        <v>0.0</v>
      </c>
      <c r="BN13" s="1">
        <v>0.0</v>
      </c>
      <c r="BO13" s="1">
        <v>47.0</v>
      </c>
      <c r="BQ13" s="1">
        <v>30.0</v>
      </c>
      <c r="BS13" s="1">
        <v>17.0</v>
      </c>
      <c r="BT13" s="1">
        <v>0.0</v>
      </c>
      <c r="BU13" s="1">
        <v>0.0</v>
      </c>
      <c r="BV13" s="1">
        <v>0.0</v>
      </c>
      <c r="BW13" s="1">
        <v>0.0</v>
      </c>
      <c r="BX13" s="1">
        <v>0.0</v>
      </c>
      <c r="BY13" s="1">
        <v>0.0211382113821138</v>
      </c>
      <c r="BZ13" s="1">
        <v>0.00772357723577235</v>
      </c>
      <c r="CB13" s="1">
        <v>0.00772357723577235</v>
      </c>
      <c r="CC13" s="1">
        <v>0.00761217948717948</v>
      </c>
      <c r="CE13" s="1">
        <v>0.00761217948717948</v>
      </c>
      <c r="CF13" s="2">
        <v>0.0268292682926829</v>
      </c>
      <c r="CG13" s="1">
        <v>0.0264423076923076</v>
      </c>
      <c r="CH13" s="1">
        <v>4.28084968380087E-4</v>
      </c>
      <c r="CI13" s="1">
        <v>1.23236581806388E-4</v>
      </c>
      <c r="DG13" s="1">
        <v>0.0</v>
      </c>
      <c r="DH13" s="1">
        <v>0.0</v>
      </c>
    </row>
    <row r="14">
      <c r="K14" s="5">
        <f>SUM(K2:K13)</f>
        <v>24020</v>
      </c>
      <c r="AC14" s="5">
        <f>SUM(AC2:AC13)</f>
        <v>693</v>
      </c>
      <c r="CF14" s="6">
        <f>AVERAGE(CF2:CF13)</f>
        <v>0.02527141949</v>
      </c>
    </row>
    <row r="15">
      <c r="CF15" s="6"/>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s>
  <drawing r:id="rId25"/>
</worksheet>
</file>