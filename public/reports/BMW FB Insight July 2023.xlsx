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_Content performance" sheetId="1" r:id="rId4"/>
  </sheets>
  <definedNames/>
  <calcPr/>
</workbook>
</file>

<file path=xl/sharedStrings.xml><?xml version="1.0" encoding="utf-8"?>
<sst xmlns="http://schemas.openxmlformats.org/spreadsheetml/2006/main" count="106" uniqueCount="52">
  <si>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</si>
  <si>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</si>
  <si>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</si>
  <si>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</si>
  <si>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</si>
  <si>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</si>
  <si>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</si>
  <si>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</si>
  <si>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</si>
  <si>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</si>
  <si>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</si>
  <si>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</si>
  <si>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Reach avg.</t>
  </si>
  <si>
    <t>Paid reach avg.</t>
  </si>
  <si>
    <t>Frequency</t>
  </si>
  <si>
    <t>Engagements</t>
  </si>
  <si>
    <t>Engagement rate (reach)</t>
  </si>
  <si>
    <t>Negative feedback</t>
  </si>
  <si>
    <t>FACEBOOK</t>
  </si>
  <si>
    <t>BMW Indonesia</t>
  </si>
  <si>
    <t>IMAGE</t>
  </si>
  <si>
    <t>Timeline</t>
  </si>
  <si>
    <t>No</t>
  </si>
  <si>
    <t>Come forward, be brave, and take on the adventurous dreams that await you every day with The Xcellent ONE.   #OwnYourDream</t>
  </si>
  <si>
    <t>https://www.facebook.com/643003717853885/posts/670850535069203</t>
  </si>
  <si>
    <t>195487454216_670850535069203</t>
  </si>
  <si>
    <t>1,03</t>
  </si>
  <si>
    <t>More space for more adventures.  #OwnYourDream</t>
  </si>
  <si>
    <t>https://www.facebook.com/643003717853885/posts/669080108579579</t>
  </si>
  <si>
    <t>195487454216_669080108579579</t>
  </si>
  <si>
    <t>1,04</t>
  </si>
  <si>
    <t>A fierce presence that asserts your adventurous spirits.  #OwnYourDream</t>
  </si>
  <si>
    <t>https://www.facebook.com/643003717853885/posts/669079805246276</t>
  </si>
  <si>
    <t>195487454216_669079805246276</t>
  </si>
  <si>
    <t>1,05</t>
  </si>
  <si>
    <t>Upgraded for digital convenience at your fingertips.  #OwnYourDream</t>
  </si>
  <si>
    <t>https://www.facebook.com/643003717853885/posts/669078938579696</t>
  </si>
  <si>
    <t>195487454216_669078938579696</t>
  </si>
  <si>
    <t>1,02</t>
  </si>
  <si>
    <t>-</t>
  </si>
  <si>
    <t>https://www.facebook.com/photo.php?fbid=667447868742803&amp;set=a.643003607853896&amp;type=3</t>
  </si>
  <si>
    <t>195487454216_667447868742803</t>
  </si>
  <si>
    <t>From the FSC-certified wood used for the center console to the innovative use of Econyl, crafted from recycled fishing nets for the floor coverings and mats, every detail reflects a commitment to sustainability.   Even the interior design is made from SensaTec, a leather-free material that enhances the eco-friendly appeal.   Learn more about THE iX at bmw.co.id or get in touch with your nearest BMW Authorized Dealer.</t>
  </si>
  <si>
    <t>https://www.facebook.com/643003717853885/posts/667447912076132</t>
  </si>
  <si>
    <t>195487454216_667447912076132</t>
  </si>
  <si>
    <t>VIDEO</t>
  </si>
  <si>
    <t>In THE NEW 7, you'll find the BMW Interaction Bar, which adapts to your My Mode settings, along with the immersive Bowers &amp; Wilkins surround sound system that delivers studio-quality sound.  Discover more about these features by clicking the link in our bio or contacting your nearest BMW Authorized Dealers.</t>
  </si>
  <si>
    <t>https://www.facebook.com/643003717853885/posts/660903489397241</t>
  </si>
  <si>
    <t>195487454216_660903489397241</t>
  </si>
  <si>
    <t>In THE NEW 7, you'll find the BMW Interaction Bar, which adapts to your My Mode settings, along with the immersive Bowers &amp; Wilkins surround sound system that delivers studio-quality sound.  Discover more about these features by clicking the link in our bio or contacting your nearest BMW Authorized Dealers.  #TheFutureofLuxury #TheNew7</t>
  </si>
  <si>
    <t>https://www.facebook.com/643003717853885/posts/660900526064204</t>
  </si>
  <si>
    <t>195487454216_660900526064204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</si>
</sst>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643003717853885/posts/670850535069203" TargetMode="External"/><Relationship Id="rId2" Type="http://schemas.openxmlformats.org/officeDocument/2006/relationships/hyperlink" Target="https://www.facebook.com/643003717853885/posts/669080108579579" TargetMode="External"/><Relationship Id="rId3" Type="http://schemas.openxmlformats.org/officeDocument/2006/relationships/hyperlink" Target="https://www.facebook.com/643003717853885/posts/669079805246276" TargetMode="External"/><Relationship Id="rId4" Type="http://schemas.openxmlformats.org/officeDocument/2006/relationships/hyperlink" Target="https://www.facebook.com/643003717853885/posts/669078938579696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facebook.com/photo.php?fbid=667447868742803&amp;set=a.643003607853896&amp;type=3" TargetMode="External"/><Relationship Id="rId6" Type="http://schemas.openxmlformats.org/officeDocument/2006/relationships/hyperlink" Target="https://www.facebook.com/643003717853885/posts/667447912076132" TargetMode="External"/><Relationship Id="rId7" Type="http://schemas.openxmlformats.org/officeDocument/2006/relationships/hyperlink" Target="https://www.facebook.com/643003717853885/posts/660903489397241" TargetMode="External"/><Relationship Id="rId8" Type="http://schemas.openxmlformats.org/officeDocument/2006/relationships/hyperlink" Target="https://www.facebook.com/643003717853885/posts/660900526064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>
      <c r="A3" s="1" t="s">
        <v>18</v>
      </c>
      <c r="B3" s="1" t="s">
        <v>19</v>
      </c>
      <c r="C3" s="2">
        <v>45131.75952546296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22</v>
      </c>
      <c r="I3" s="1" t="s">
        <v>23</v>
      </c>
      <c r="J3" s="3" t="s">
        <v>24</v>
      </c>
      <c r="K3" s="1" t="s">
        <v>25</v>
      </c>
      <c r="L3" s="1">
        <v>2997.0</v>
      </c>
      <c r="M3" s="1">
        <v>0.0</v>
      </c>
      <c r="N3" s="1" t="s">
        <v>26</v>
      </c>
      <c r="O3" s="1">
        <v>17.0</v>
      </c>
      <c r="P3" s="1">
        <v>0.57</v>
      </c>
      <c r="Q3" s="1">
        <v>0.0</v>
      </c>
    </row>
    <row r="4">
      <c r="A4" s="1" t="s">
        <v>18</v>
      </c>
      <c r="B4" s="1" t="s">
        <v>19</v>
      </c>
      <c r="C4" s="2">
        <v>45128.75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27</v>
      </c>
      <c r="J4" s="3" t="s">
        <v>28</v>
      </c>
      <c r="K4" s="1" t="s">
        <v>29</v>
      </c>
      <c r="L4" s="1">
        <v>3230.0</v>
      </c>
      <c r="M4" s="1">
        <v>0.0</v>
      </c>
      <c r="N4" s="1" t="s">
        <v>30</v>
      </c>
      <c r="O4" s="1">
        <v>26.0</v>
      </c>
      <c r="P4" s="1">
        <v>0.8</v>
      </c>
      <c r="Q4" s="1">
        <v>0.0</v>
      </c>
    </row>
    <row r="5">
      <c r="A5" s="1" t="s">
        <v>18</v>
      </c>
      <c r="B5" s="1" t="s">
        <v>19</v>
      </c>
      <c r="C5" s="2">
        <v>45128.666666666664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31</v>
      </c>
      <c r="J5" s="3" t="s">
        <v>32</v>
      </c>
      <c r="K5" s="1" t="s">
        <v>33</v>
      </c>
      <c r="L5" s="1">
        <v>1857.0</v>
      </c>
      <c r="M5" s="1">
        <v>0.0</v>
      </c>
      <c r="N5" s="1" t="s">
        <v>34</v>
      </c>
      <c r="O5" s="1">
        <v>6.0</v>
      </c>
      <c r="P5" s="1">
        <v>0.32</v>
      </c>
      <c r="Q5" s="1">
        <v>0.0</v>
      </c>
    </row>
    <row r="6">
      <c r="A6" s="1" t="s">
        <v>18</v>
      </c>
      <c r="B6" s="1" t="s">
        <v>19</v>
      </c>
      <c r="C6" s="2">
        <v>45128.58725694445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22</v>
      </c>
      <c r="I6" s="1" t="s">
        <v>35</v>
      </c>
      <c r="J6" s="3" t="s">
        <v>36</v>
      </c>
      <c r="K6" s="1" t="s">
        <v>37</v>
      </c>
      <c r="L6" s="1">
        <v>2450.0</v>
      </c>
      <c r="M6" s="1">
        <v>0.0</v>
      </c>
      <c r="N6" s="1" t="s">
        <v>38</v>
      </c>
      <c r="O6" s="1">
        <v>10.0</v>
      </c>
      <c r="P6" s="1">
        <v>0.41</v>
      </c>
      <c r="Q6" s="1">
        <v>0.0</v>
      </c>
    </row>
    <row r="7">
      <c r="A7" s="1" t="s">
        <v>18</v>
      </c>
      <c r="B7" s="1" t="s">
        <v>19</v>
      </c>
      <c r="C7" s="2">
        <v>45125.75491898148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39</v>
      </c>
      <c r="J7" s="3" t="s">
        <v>40</v>
      </c>
      <c r="K7" s="1" t="s">
        <v>41</v>
      </c>
      <c r="L7" s="1">
        <v>4112.0</v>
      </c>
      <c r="M7" s="1">
        <v>0.0</v>
      </c>
      <c r="N7" s="1" t="s">
        <v>30</v>
      </c>
      <c r="O7" s="1">
        <v>5.0</v>
      </c>
      <c r="P7" s="1">
        <v>0.12</v>
      </c>
      <c r="Q7" s="1">
        <v>0.0</v>
      </c>
    </row>
    <row r="8">
      <c r="A8" s="1" t="s">
        <v>18</v>
      </c>
      <c r="B8" s="1" t="s">
        <v>19</v>
      </c>
      <c r="C8" s="2">
        <v>45125.75491898148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42</v>
      </c>
      <c r="J8" s="3" t="s">
        <v>43</v>
      </c>
      <c r="K8" s="1" t="s">
        <v>44</v>
      </c>
      <c r="L8" s="1">
        <v>4120.0</v>
      </c>
      <c r="M8" s="1">
        <v>0.0</v>
      </c>
      <c r="N8" s="1" t="s">
        <v>30</v>
      </c>
      <c r="O8" s="1">
        <v>27.0</v>
      </c>
      <c r="P8" s="1">
        <v>0.66</v>
      </c>
      <c r="Q8" s="1">
        <v>0.0</v>
      </c>
    </row>
    <row r="9">
      <c r="A9" s="1" t="s">
        <v>18</v>
      </c>
      <c r="B9" s="1" t="s">
        <v>19</v>
      </c>
      <c r="C9" s="2">
        <v>45114.744305555556</v>
      </c>
      <c r="D9" s="1" t="s">
        <v>45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46</v>
      </c>
      <c r="J9" s="3" t="s">
        <v>47</v>
      </c>
      <c r="K9" s="1" t="s">
        <v>48</v>
      </c>
      <c r="L9" s="1">
        <v>953.0</v>
      </c>
      <c r="M9" s="1">
        <v>0.0</v>
      </c>
      <c r="N9" s="1">
        <v>0.0</v>
      </c>
      <c r="O9" s="1">
        <v>16.0</v>
      </c>
      <c r="P9" s="1">
        <v>1.68</v>
      </c>
      <c r="Q9" s="1" t="s">
        <v>39</v>
      </c>
    </row>
    <row r="10">
      <c r="A10" s="1" t="s">
        <v>18</v>
      </c>
      <c r="B10" s="1" t="s">
        <v>19</v>
      </c>
      <c r="C10" s="2">
        <v>45114.739594907405</v>
      </c>
      <c r="D10" s="1" t="s">
        <v>45</v>
      </c>
      <c r="E10" s="1" t="s">
        <v>21</v>
      </c>
      <c r="F10" s="1" t="s">
        <v>22</v>
      </c>
      <c r="G10" s="1" t="s">
        <v>22</v>
      </c>
      <c r="H10" s="1" t="s">
        <v>22</v>
      </c>
      <c r="I10" s="1" t="s">
        <v>49</v>
      </c>
      <c r="J10" s="3" t="s">
        <v>50</v>
      </c>
      <c r="K10" s="1" t="s">
        <v>51</v>
      </c>
      <c r="L10" s="1">
        <v>1216.0</v>
      </c>
      <c r="M10" s="1">
        <v>0.0</v>
      </c>
      <c r="N10" s="1">
        <v>0.0</v>
      </c>
      <c r="O10" s="1">
        <v>16.0</v>
      </c>
      <c r="P10" s="1">
        <v>1.32</v>
      </c>
      <c r="Q10" s="1" t="s">
        <v>39</v>
      </c>
    </row>
    <row r="11">
      <c r="L11" s="4">
        <f>AVERAGE(L3:L10)</f>
        <v>2616.875</v>
      </c>
      <c r="O11" s="5">
        <f>SUM(O3:O10)</f>
        <v>123</v>
      </c>
      <c r="P11" s="5">
        <f>AVERAGE(P3:P10)</f>
        <v>0.735</v>
      </c>
    </row>
    <row r="12">
      <c r="L12" s="5">
        <f>sum(L3:L10)</f>
        <v>20935</v>
      </c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</hyperlinks>
  <drawing r:id="rId9"/>
</worksheet>
</file>