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 state="visible" name="Sheet1" sheetId="2" r:id="rId5"/>
  </sheets>
  <definedNames>
    <definedName hidden="1" localSheetId="0" name="_xlnm._FilterDatabase">'09_Content performance'!$A$1:$Q$34</definedName>
  </definedNames>
  <calcPr/>
</workbook>
</file>

<file path=xl/sharedStrings.xml><?xml version="1.0" encoding="utf-8"?>
<sst xmlns="http://schemas.openxmlformats.org/spreadsheetml/2006/main" count="372" uniqueCount="150">
  <si>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</si>
  <si>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</si>
  <si>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</si>
  <si>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</si>
  <si>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</si>
  <si>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</si>
  <si>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</si>
  <si>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</si>
  <si>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</si>
  <si>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</si>
  <si>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</si>
  <si>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</si>
  <si>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</si>
  <si>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</si>
  <si>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</si>
  <si>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</si>
  <si>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</si>
  <si>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</si>
  <si>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</si>
  <si>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</si>
  <si>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IMAGE</t>
  </si>
  <si>
    <t>Timeline</t>
  </si>
  <si>
    <t>No</t>
  </si>
  <si>
    <t>We are delighted to announce that @bmwultima has become the First Certified BMW Classic Partner in Asia. With our passion for excellence and attention to detail, we aim to revive the heritage of BMW classic cars and provide exceptional service using only BMW Original Parts.  Along with the launch, we also embrace the future by introducing our timeless convertible roadster, THE NEW Z4 as well as THE NEW BMW 530i Touring M Sport Pro.   For further information, visit BMW Ultima or your nearest authorized BMW dealer, or visit our website at bmw.co.id.  #BMWClassicIndonesia #BMWClassicPartner #BMWUltima</t>
  </si>
  <si>
    <t>https://www.facebook.com/195487454216/posts/10159628416924217/</t>
  </si>
  <si>
    <t>195487454216_10159628416924217</t>
  </si>
  <si>
    <t>1,02</t>
  </si>
  <si>
    <t>Illuminate the road ahead with a style. Discover a world of luxury and innovation with the BMW Crystal Headlights Iconic Glow.   THE 7 &amp; THE i7. Coming Soon.  Sign up to stay informed - Link in bio.   #THE7 #THEi7 #DrivenByJoy #BMWIndonesia #SheerDrivingPleasure</t>
  </si>
  <si>
    <t>https://www.facebook.com/195487454216/posts/10159624054619217/</t>
  </si>
  <si>
    <t>195487454216_10159624054619217</t>
  </si>
  <si>
    <t>1,03</t>
  </si>
  <si>
    <t>VIDEO</t>
  </si>
  <si>
    <t>Travel with a touch of BMW experience by visiting The @garuda.indonesia Platinum Lounge Service, located at Senayan City, 6th Floor.  As a special thank you for your loyalty, simply show your BMW key to get access to exclusive service &amp; amenities. Let's elevate your travel experience all around.  #BMWxGarudaIndonesia</t>
  </si>
  <si>
    <t>https://www.facebook.com/195487454216/posts/10159623601599217/</t>
  </si>
  <si>
    <t>195487454216_10159623601599217</t>
  </si>
  <si>
    <t>The wait is finally over as BMW Astra handover the first 17 units of the BMW iX xDrive40s in Indonesia.   Now, it's time to electrify your joyful driving experience, because we are #BornElectric.   Visit bmw.co.id or contact your nearest BMW i Authorized Dealers for more information.  #DrivenByJoy #SheerDrivingPleasure</t>
  </si>
  <si>
    <t>https://www.facebook.com/195487454216/posts/10159613535914217/</t>
  </si>
  <si>
    <t>195487454216_10159613535914217</t>
  </si>
  <si>
    <t>1,05</t>
  </si>
  <si>
    <t>LINK</t>
  </si>
  <si>
    <t>Yes</t>
  </si>
  <si>
    <t>Bring your new BMW home with only Rp 29 mio* with BLISS by BMW, a smart choice to lease BMW with low upfront commitment.</t>
  </si>
  <si>
    <t>https://www.facebook.com/195487454216/posts/10159609832974217/</t>
  </si>
  <si>
    <t>195487454216_10159609832974217</t>
  </si>
  <si>
    <t>1,52</t>
  </si>
  <si>
    <t>3,13</t>
  </si>
  <si>
    <t>Bringing ultimate luxurious entertainment on the road like never before. Coming soon.  Visit and register your interest at www.bmw.co.id.</t>
  </si>
  <si>
    <t>https://www.facebook.com/195487454216/posts/10159601969404217/</t>
  </si>
  <si>
    <t>195487454216_10159601969404217</t>
  </si>
  <si>
    <t>1,01</t>
  </si>
  <si>
    <t>There are times when you have to put your dream on hold. But we’re telling you, now you can still have your things in order and get your dream BMW at the same time.  This is what BLISS by BMW is about. A smart choice for you to lease your BMW with a low upfront commitment, so you can focus on Sheer Driving Pleasure without compromising your priorities.  For more information about the program, contact BMW Contact Center at 1500 269 or send direct messages to 0852 8888 6269 (WhatsApp).  BLISS by BMW. A Smart option to own a BMW.</t>
  </si>
  <si>
    <t>https://www.facebook.com/BMWIndonesia/photos/a.195492034216/10159600015114217/?type=3</t>
  </si>
  <si>
    <t>195487454216_10159600015114217</t>
  </si>
  <si>
    <t>1,06</t>
  </si>
  <si>
    <t>An outstanding exterior meets a ground-breaking interior. This is the new face of ultimate luxury. Coming soon.  Register your interest!</t>
  </si>
  <si>
    <t>https://www.facebook.com/195487454216/posts/10159598063014217/</t>
  </si>
  <si>
    <t>195487454216_10159598063014217</t>
  </si>
  <si>
    <t>{{product.brand}}</t>
  </si>
  <si>
    <t>https://www.facebook.com/195487454216/posts/10159598062574217/</t>
  </si>
  <si>
    <t>195487454216_10159598062574217</t>
  </si>
  <si>
    <t>1,69</t>
  </si>
  <si>
    <t>Behold, a groundbreaking design language with advanced innovation is on its way.</t>
  </si>
  <si>
    <t>https://www.facebook.com/195487454216/posts/10159597961869217/</t>
  </si>
  <si>
    <t>195487454216_10159597961869217</t>
  </si>
  <si>
    <t>1,36</t>
  </si>
  <si>
    <t>1,9</t>
  </si>
  <si>
    <t>-</t>
  </si>
  <si>
    <t>https://www.facebook.com/BMWIndonesia/videos/231130279436497/</t>
  </si>
  <si>
    <t>195487454216_231130279436497</t>
  </si>
  <si>
    <t>1,32</t>
  </si>
  <si>
    <t>https://www.facebook.com/BMWIndonesia/videos/532896148914624/</t>
  </si>
  <si>
    <t>195487454216_532896148914624</t>
  </si>
  <si>
    <t>1,73</t>
  </si>
  <si>
    <t>This is the moment that redefines progress and challenges electric convention for tomorrow and beyond. THE NEW 7. Coming soon.  Visit and register your interest at bmw.co.id.</t>
  </si>
  <si>
    <t>https://www.facebook.com/195487454216/posts/10159590475119217/</t>
  </si>
  <si>
    <t>195487454216_10159590475119217</t>
  </si>
  <si>
    <t>https://www.facebook.com/195487454216/posts/10159590460784217/</t>
  </si>
  <si>
    <t>195487454216_10159590460784217</t>
  </si>
  <si>
    <t>1,63</t>
  </si>
  <si>
    <t>1,55</t>
  </si>
  <si>
    <t>The Legacy is about staying ahead of the curve. It’s where luxury meets sophistication.  Just like @adiniawrst, THE NEW 3 Series effortlessly embodies the grace and power.  Let’s drive on and evolve with THE NEW 3 Series, Legacy 3volved.  #THE3 #Legacy3volved #DrivenByJoy #SheerDrivingPleasure #BMWIndonesia</t>
  </si>
  <si>
    <t>https://www.facebook.com/BMWIndonesia/videos/1270456443556533/</t>
  </si>
  <si>
    <t>195487454216_1270456443556533</t>
  </si>
  <si>
    <t>2,31</t>
  </si>
  <si>
    <t>0,05</t>
  </si>
  <si>
    <t>https://www.facebook.com/195487454216/posts/10159590330054217/</t>
  </si>
  <si>
    <t>195487454216_10159590330054217</t>
  </si>
  <si>
    <t>2,22</t>
  </si>
  <si>
    <t>1,31</t>
  </si>
  <si>
    <t>Get ready to command the road with a statement that leaves no room for compromise.  The Legacy doesn’t settle. Join @bayu_ario to keep on evolving and improving with THE NEW 3 Series.   #THE3 #Legacy3volved #DrivenByJoy #SheerDrivingPleasure #BMWIndonesia</t>
  </si>
  <si>
    <t>https://www.facebook.com/BMWIndonesia/videos/1805725416451267/</t>
  </si>
  <si>
    <t>195487454216_1805725416451267</t>
  </si>
  <si>
    <t>1,82</t>
  </si>
  <si>
    <t>0,02</t>
  </si>
  <si>
    <t>Rev up and experience the evolution of the legacy with Adinia Wirasti and Ario Bayu.  THE NEW 3 brings new dynamic features, impressive technology, and sleek design like never before. #THE3 #Legacy3volved #DrivenByJoy #SheerDrivingPleasure #BMWIndonesia</t>
  </si>
  <si>
    <t>https://www.facebook.com/195487454216/posts/10159588686564217/</t>
  </si>
  <si>
    <t>195487454216_10159588686564217</t>
  </si>
  <si>
    <t>1,04</t>
  </si>
  <si>
    <t>Empower her, honor her, celebrate her: Today and every day, we stand with women around the world.  Happy International Women’s Day!  We all know women who inspire us. Tag them in the comments section below.  #DrivenByJoy #SheerDrivingPleasure #BMWIndonesia</t>
  </si>
  <si>
    <t>https://www.facebook.com/195487454216/posts/10159586193254217/</t>
  </si>
  <si>
    <t>195487454216_10159586193254217</t>
  </si>
  <si>
    <t>https://www.facebook.com/195487454216/posts/10159586062899217/</t>
  </si>
  <si>
    <t>195487454216_10159586062899217</t>
  </si>
  <si>
    <t>1,17</t>
  </si>
  <si>
    <t>2,03</t>
  </si>
  <si>
    <t>https://www.facebook.com/195487454216/posts/10159586062914217/</t>
  </si>
  <si>
    <t>195487454216_10159586062914217</t>
  </si>
  <si>
    <t>1,62</t>
  </si>
  <si>
    <t>2,49</t>
  </si>
  <si>
    <t>An outstanding exterior meets a ground-breaking interior. This is the new face of ultimate luxury. Coming soon.   Visit and register your interest at bmw.co.id.</t>
  </si>
  <si>
    <t>https://www.facebook.com/195487454216/posts/10159584677329217/</t>
  </si>
  <si>
    <t>195487454216_10159584677329217</t>
  </si>
  <si>
    <t>Lowest monthly installment of Rp 25 mio with BMW Financial Services* and 5 years warranty &amp; service inclusive plus.</t>
  </si>
  <si>
    <t>https://www.facebook.com/195487454216/posts/10159584659389217/</t>
  </si>
  <si>
    <t>195487454216_10159584659389217</t>
  </si>
  <si>
    <t>1,18</t>
  </si>
  <si>
    <t>1,25</t>
  </si>
  <si>
    <t>https://www.facebook.com/195487454216/posts/10159584659434217/</t>
  </si>
  <si>
    <t>195487454216_10159584659434217</t>
  </si>
  <si>
    <t>1,61</t>
  </si>
  <si>
    <t>0,79</t>
  </si>
  <si>
    <t>Lowest monthly installment of Rp 15 mio with BMW Financial Services* and 5 years warranty &amp; service inclusive plus.</t>
  </si>
  <si>
    <t>https://www.facebook.com/195487454216/posts/10159584659054217/</t>
  </si>
  <si>
    <t>195487454216_10159584659054217</t>
  </si>
  <si>
    <t>1,87</t>
  </si>
  <si>
    <t>1,09</t>
  </si>
  <si>
    <t>Designed to deliver supreme driving pleasure every time you get behind the wheel, THE 5 has everything you need to make every drive a joyful experience.  Come see and test drive THE 5 yourself at The BMW Exhibition, exclusive at Plaza Senayan Wing Area until March 5, 2023.  #BMWIndonesia #THE5 #DrivenByJoy #SheerDrivingPleasure</t>
  </si>
  <si>
    <t>https://www.facebook.com/195487454216/posts/10159580415804217/</t>
  </si>
  <si>
    <t>195487454216_10159580415804217</t>
  </si>
  <si>
    <t>1,24</t>
  </si>
  <si>
    <t>Stopover at The BMW Exhibition and experience the sheer presence and driving dynamics of the iconic BMW SUV, THE X3 and THE X5.   Don't miss out on our exclusive offers from 3-5 March 2023, at Plaza Senayan Wing Area.  #DrivenByJoy #SheerDrivingPleasure #BMWIndonesia</t>
  </si>
  <si>
    <t>https://www.facebook.com/195487454216/posts/10159578863604217/</t>
  </si>
  <si>
    <t>195487454216_10159578863604217</t>
  </si>
  <si>
    <t>1,12</t>
  </si>
  <si>
    <t>Driving is more enjoyable when you can be present in the moment.  With THE NEW 3, you can be. Just input your navigation route onto the BMW Curved Display and enjoy the ride.  Visit bmw.co.id for more information or test drive THE NEW 3, exclusive on The BMW Exhibition at Plaza Senayan Wing Area, from 3-5 March 2023.  #DrivenByJoy #SheerDrivingPleasure #BMWIndonesia</t>
  </si>
  <si>
    <t>https://www.facebook.com/195487454216/posts/10159577518384217/</t>
  </si>
  <si>
    <t>195487454216_10159577518384217</t>
  </si>
  <si>
    <t>Bring your new BMW home with only Rp 29 mio* with BLISS by BMW only at Plaza Senayan Exhibition, 3-5 March 2023.</t>
  </si>
  <si>
    <t>https://www.facebook.com/195487454216/posts/10159577305004217/</t>
  </si>
  <si>
    <t>195487454216_10159577305004217</t>
  </si>
  <si>
    <t>1,23</t>
  </si>
  <si>
    <t>1,95</t>
  </si>
  <si>
    <t>Lowest monthly installment of Rp 25 mio with BMW Financial Services* only at Plaza Senayan Exhibition, 3-5 March 2023.</t>
  </si>
  <si>
    <t>https://www.facebook.com/195487454216/posts/10159577304364217/</t>
  </si>
  <si>
    <t>195487454216_10159577304364217</t>
  </si>
  <si>
    <t>0,85</t>
  </si>
  <si>
    <t>Lowest monthly installment of Rp 15 mio with BMW Financial Services* only at Plaza Senayan Exhibition, 3-5 March 2023.</t>
  </si>
  <si>
    <t>https://www.facebook.com/195487454216/posts/10159577303494217/</t>
  </si>
  <si>
    <t>195487454216_10159577303494217</t>
  </si>
  <si>
    <t>1,28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</si>
</sst>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xf borderId="0" fillId="0" fontId="1" numFmtId="2" xfId="0" applyFont="1" applyNumberFormat="1"/>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195487454216/posts/10159586062899217/" TargetMode="External"/><Relationship Id="rId22" Type="http://schemas.openxmlformats.org/officeDocument/2006/relationships/hyperlink" Target="https://www.facebook.com/195487454216/posts/10159584677329217/" TargetMode="External"/><Relationship Id="rId21" Type="http://schemas.openxmlformats.org/officeDocument/2006/relationships/hyperlink" Target="https://www.facebook.com/195487454216/posts/10159586062914217/" TargetMode="External"/><Relationship Id="rId24" Type="http://schemas.openxmlformats.org/officeDocument/2006/relationships/hyperlink" Target="https://www.facebook.com/195487454216/posts/10159584659434217/" TargetMode="External"/><Relationship Id="rId23" Type="http://schemas.openxmlformats.org/officeDocument/2006/relationships/hyperlink" Target="https://www.facebook.com/195487454216/posts/10159584659389217/" TargetMode="External"/><Relationship Id="rId1" Type="http://schemas.openxmlformats.org/officeDocument/2006/relationships/hyperlink" Target="https://www.facebook.com/195487454216/posts/10159628416924217/" TargetMode="External"/><Relationship Id="rId2" Type="http://schemas.openxmlformats.org/officeDocument/2006/relationships/hyperlink" Target="https://www.facebook.com/195487454216/posts/10159624054619217/" TargetMode="External"/><Relationship Id="rId3" Type="http://schemas.openxmlformats.org/officeDocument/2006/relationships/hyperlink" Target="https://www.facebook.com/195487454216/posts/10159623601599217/" TargetMode="External"/><Relationship Id="rId4" Type="http://schemas.openxmlformats.org/officeDocument/2006/relationships/hyperlink" Target="https://www.facebook.com/195487454216/posts/10159613535914217/" TargetMode="External"/><Relationship Id="rId9" Type="http://schemas.openxmlformats.org/officeDocument/2006/relationships/hyperlink" Target="https://www.facebook.com/195487454216/posts/10159598062574217/" TargetMode="External"/><Relationship Id="rId26" Type="http://schemas.openxmlformats.org/officeDocument/2006/relationships/hyperlink" Target="https://www.facebook.com/195487454216/posts/10159580415804217/" TargetMode="External"/><Relationship Id="rId25" Type="http://schemas.openxmlformats.org/officeDocument/2006/relationships/hyperlink" Target="https://www.facebook.com/195487454216/posts/10159584659054217/" TargetMode="External"/><Relationship Id="rId28" Type="http://schemas.openxmlformats.org/officeDocument/2006/relationships/hyperlink" Target="https://www.facebook.com/195487454216/posts/10159577518384217/" TargetMode="External"/><Relationship Id="rId27" Type="http://schemas.openxmlformats.org/officeDocument/2006/relationships/hyperlink" Target="https://www.facebook.com/195487454216/posts/10159578863604217/" TargetMode="External"/><Relationship Id="rId5" Type="http://schemas.openxmlformats.org/officeDocument/2006/relationships/hyperlink" Target="https://www.facebook.com/195487454216/posts/10159609832974217/" TargetMode="External"/><Relationship Id="rId6" Type="http://schemas.openxmlformats.org/officeDocument/2006/relationships/hyperlink" Target="https://www.facebook.com/195487454216/posts/10159601969404217/" TargetMode="External"/><Relationship Id="rId29" Type="http://schemas.openxmlformats.org/officeDocument/2006/relationships/hyperlink" Target="https://www.facebook.com/195487454216/posts/10159577305004217/" TargetMode="External"/><Relationship Id="rId7" Type="http://schemas.openxmlformats.org/officeDocument/2006/relationships/hyperlink" Target="https://www.facebook.com/BMWIndonesia/photos/a.195492034216/10159600015114217/?type=3" TargetMode="External"/><Relationship Id="rId8" Type="http://schemas.openxmlformats.org/officeDocument/2006/relationships/hyperlink" Target="https://www.facebook.com/195487454216/posts/10159598063014217/" TargetMode="External"/><Relationship Id="rId31" Type="http://schemas.openxmlformats.org/officeDocument/2006/relationships/hyperlink" Target="https://www.facebook.com/195487454216/posts/10159577303494217/" TargetMode="External"/><Relationship Id="rId30" Type="http://schemas.openxmlformats.org/officeDocument/2006/relationships/hyperlink" Target="https://www.facebook.com/195487454216/posts/10159577304364217/" TargetMode="External"/><Relationship Id="rId11" Type="http://schemas.openxmlformats.org/officeDocument/2006/relationships/hyperlink" Target="https://www.facebook.com/BMWIndonesia/videos/231130279436497/" TargetMode="External"/><Relationship Id="rId10" Type="http://schemas.openxmlformats.org/officeDocument/2006/relationships/hyperlink" Target="https://www.facebook.com/195487454216/posts/10159597961869217/" TargetMode="External"/><Relationship Id="rId32" Type="http://schemas.openxmlformats.org/officeDocument/2006/relationships/drawing" Target="../drawings/drawing1.xml"/><Relationship Id="rId13" Type="http://schemas.openxmlformats.org/officeDocument/2006/relationships/hyperlink" Target="https://www.facebook.com/195487454216/posts/10159590475119217/" TargetMode="External"/><Relationship Id="rId12" Type="http://schemas.openxmlformats.org/officeDocument/2006/relationships/hyperlink" Target="https://www.facebook.com/BMWIndonesia/videos/532896148914624/" TargetMode="External"/><Relationship Id="rId15" Type="http://schemas.openxmlformats.org/officeDocument/2006/relationships/hyperlink" Target="https://www.facebook.com/BMWIndonesia/videos/1270456443556533/" TargetMode="External"/><Relationship Id="rId14" Type="http://schemas.openxmlformats.org/officeDocument/2006/relationships/hyperlink" Target="https://www.facebook.com/195487454216/posts/10159590460784217/" TargetMode="External"/><Relationship Id="rId17" Type="http://schemas.openxmlformats.org/officeDocument/2006/relationships/hyperlink" Target="https://www.facebook.com/BMWIndonesia/videos/1805725416451267/" TargetMode="External"/><Relationship Id="rId16" Type="http://schemas.openxmlformats.org/officeDocument/2006/relationships/hyperlink" Target="https://www.facebook.com/195487454216/posts/10159590330054217/" TargetMode="External"/><Relationship Id="rId19" Type="http://schemas.openxmlformats.org/officeDocument/2006/relationships/hyperlink" Target="https://www.facebook.com/195487454216/posts/10159586193254217/" TargetMode="External"/><Relationship Id="rId18" Type="http://schemas.openxmlformats.org/officeDocument/2006/relationships/hyperlink" Target="https://www.facebook.com/195487454216/posts/1015958868656421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45016.479155092595</v>
      </c>
      <c r="D3" s="1" t="s">
        <v>20</v>
      </c>
      <c r="E3" s="1" t="s">
        <v>21</v>
      </c>
      <c r="F3" s="1" t="s">
        <v>22</v>
      </c>
      <c r="G3" s="1" t="s">
        <v>22</v>
      </c>
      <c r="H3" s="1" t="s">
        <v>22</v>
      </c>
      <c r="I3" s="1" t="s">
        <v>23</v>
      </c>
      <c r="J3" s="3" t="s">
        <v>24</v>
      </c>
      <c r="K3" s="1" t="s">
        <v>25</v>
      </c>
      <c r="L3" s="1">
        <v>6336.0</v>
      </c>
      <c r="M3" s="1">
        <v>0.0</v>
      </c>
      <c r="N3" s="1" t="s">
        <v>26</v>
      </c>
      <c r="O3" s="1">
        <v>85.0</v>
      </c>
      <c r="P3" s="1">
        <v>1.34</v>
      </c>
      <c r="Q3" s="1">
        <v>1.0</v>
      </c>
    </row>
    <row r="4">
      <c r="A4" s="1" t="s">
        <v>18</v>
      </c>
      <c r="B4" s="1" t="s">
        <v>19</v>
      </c>
      <c r="C4" s="2">
        <v>45013.736967592595</v>
      </c>
      <c r="D4" s="1" t="s">
        <v>20</v>
      </c>
      <c r="E4" s="1" t="s">
        <v>21</v>
      </c>
      <c r="F4" s="1" t="s">
        <v>22</v>
      </c>
      <c r="G4" s="1" t="s">
        <v>22</v>
      </c>
      <c r="H4" s="1" t="s">
        <v>22</v>
      </c>
      <c r="I4" s="1" t="s">
        <v>27</v>
      </c>
      <c r="J4" s="3" t="s">
        <v>28</v>
      </c>
      <c r="K4" s="1" t="s">
        <v>29</v>
      </c>
      <c r="L4" s="1">
        <v>3360.0</v>
      </c>
      <c r="M4" s="1">
        <v>0.0</v>
      </c>
      <c r="N4" s="1" t="s">
        <v>30</v>
      </c>
      <c r="O4" s="1">
        <v>48.0</v>
      </c>
      <c r="P4" s="1">
        <v>1.43</v>
      </c>
      <c r="Q4" s="1">
        <v>1.0</v>
      </c>
    </row>
    <row r="5">
      <c r="A5" s="1" t="s">
        <v>18</v>
      </c>
      <c r="B5" s="1" t="s">
        <v>19</v>
      </c>
      <c r="C5" s="2">
        <v>45013.37584490741</v>
      </c>
      <c r="D5" s="1" t="s">
        <v>31</v>
      </c>
      <c r="E5" s="1" t="s">
        <v>21</v>
      </c>
      <c r="F5" s="1" t="s">
        <v>22</v>
      </c>
      <c r="G5" s="1" t="s">
        <v>22</v>
      </c>
      <c r="H5" s="1" t="s">
        <v>22</v>
      </c>
      <c r="I5" s="1" t="s">
        <v>32</v>
      </c>
      <c r="J5" s="3" t="s">
        <v>33</v>
      </c>
      <c r="K5" s="1" t="s">
        <v>34</v>
      </c>
      <c r="L5" s="1">
        <v>1514.0</v>
      </c>
      <c r="M5" s="1">
        <v>0.0</v>
      </c>
      <c r="N5" s="1" t="s">
        <v>30</v>
      </c>
      <c r="O5" s="1">
        <v>33.0</v>
      </c>
      <c r="P5" s="1">
        <v>2.18</v>
      </c>
      <c r="Q5" s="1">
        <v>1.0</v>
      </c>
    </row>
    <row r="6">
      <c r="A6" s="1" t="s">
        <v>18</v>
      </c>
      <c r="B6" s="1" t="s">
        <v>19</v>
      </c>
      <c r="C6" s="2">
        <v>45007.73370370371</v>
      </c>
      <c r="D6" s="1" t="s">
        <v>20</v>
      </c>
      <c r="E6" s="1" t="s">
        <v>21</v>
      </c>
      <c r="F6" s="1" t="s">
        <v>22</v>
      </c>
      <c r="G6" s="1" t="s">
        <v>22</v>
      </c>
      <c r="H6" s="1" t="s">
        <v>22</v>
      </c>
      <c r="I6" s="1" t="s">
        <v>35</v>
      </c>
      <c r="J6" s="3" t="s">
        <v>36</v>
      </c>
      <c r="K6" s="1" t="s">
        <v>37</v>
      </c>
      <c r="L6" s="1">
        <v>10547.0</v>
      </c>
      <c r="M6" s="1">
        <v>0.0</v>
      </c>
      <c r="N6" s="1" t="s">
        <v>38</v>
      </c>
      <c r="O6" s="1">
        <v>95.0</v>
      </c>
      <c r="P6" s="1">
        <v>0.9</v>
      </c>
      <c r="Q6" s="1">
        <v>1.0</v>
      </c>
    </row>
    <row r="7" hidden="1">
      <c r="A7" s="1" t="s">
        <v>18</v>
      </c>
      <c r="B7" s="1" t="s">
        <v>19</v>
      </c>
      <c r="C7" s="2">
        <v>45005.56712962963</v>
      </c>
      <c r="D7" s="1" t="s">
        <v>39</v>
      </c>
      <c r="E7" s="1" t="s">
        <v>21</v>
      </c>
      <c r="F7" s="1" t="s">
        <v>40</v>
      </c>
      <c r="G7" s="1" t="s">
        <v>40</v>
      </c>
      <c r="H7" s="1" t="s">
        <v>22</v>
      </c>
      <c r="I7" s="1" t="s">
        <v>41</v>
      </c>
      <c r="J7" s="3" t="s">
        <v>42</v>
      </c>
      <c r="K7" s="1" t="s">
        <v>43</v>
      </c>
      <c r="L7" s="1">
        <v>66476.0</v>
      </c>
      <c r="M7" s="1">
        <v>66476.0</v>
      </c>
      <c r="N7" s="1" t="s">
        <v>44</v>
      </c>
      <c r="O7" s="1">
        <v>2082.0</v>
      </c>
      <c r="P7" s="1" t="s">
        <v>45</v>
      </c>
      <c r="Q7" s="1">
        <v>0.0</v>
      </c>
    </row>
    <row r="8">
      <c r="A8" s="1" t="s">
        <v>18</v>
      </c>
      <c r="B8" s="1" t="s">
        <v>19</v>
      </c>
      <c r="C8" s="2">
        <v>45001.75420138889</v>
      </c>
      <c r="D8" s="1" t="s">
        <v>20</v>
      </c>
      <c r="E8" s="1" t="s">
        <v>21</v>
      </c>
      <c r="F8" s="1" t="s">
        <v>22</v>
      </c>
      <c r="G8" s="1" t="s">
        <v>22</v>
      </c>
      <c r="H8" s="1" t="s">
        <v>22</v>
      </c>
      <c r="I8" s="1" t="s">
        <v>46</v>
      </c>
      <c r="J8" s="3" t="s">
        <v>47</v>
      </c>
      <c r="K8" s="1" t="s">
        <v>48</v>
      </c>
      <c r="L8" s="1">
        <v>4275.0</v>
      </c>
      <c r="M8" s="1">
        <v>0.0</v>
      </c>
      <c r="N8" s="1" t="s">
        <v>49</v>
      </c>
      <c r="O8" s="1">
        <v>38.0</v>
      </c>
      <c r="P8" s="1">
        <v>0.89</v>
      </c>
      <c r="Q8" s="1">
        <v>0.0</v>
      </c>
    </row>
    <row r="9">
      <c r="A9" s="1" t="s">
        <v>18</v>
      </c>
      <c r="B9" s="1" t="s">
        <v>19</v>
      </c>
      <c r="C9" s="2">
        <v>45000.75009259259</v>
      </c>
      <c r="D9" s="1" t="s">
        <v>20</v>
      </c>
      <c r="E9" s="1" t="s">
        <v>21</v>
      </c>
      <c r="F9" s="1" t="s">
        <v>22</v>
      </c>
      <c r="G9" s="1" t="s">
        <v>22</v>
      </c>
      <c r="H9" s="1" t="s">
        <v>22</v>
      </c>
      <c r="I9" s="1" t="s">
        <v>50</v>
      </c>
      <c r="J9" s="3" t="s">
        <v>51</v>
      </c>
      <c r="K9" s="1" t="s">
        <v>52</v>
      </c>
      <c r="L9" s="1">
        <v>2531.0</v>
      </c>
      <c r="M9" s="1">
        <v>0.0</v>
      </c>
      <c r="N9" s="1" t="s">
        <v>53</v>
      </c>
      <c r="O9" s="1">
        <v>55.0</v>
      </c>
      <c r="P9" s="1">
        <v>2.17</v>
      </c>
      <c r="Q9" s="1">
        <v>1.0</v>
      </c>
    </row>
    <row r="10" hidden="1">
      <c r="A10" s="1" t="s">
        <v>18</v>
      </c>
      <c r="B10" s="1" t="s">
        <v>19</v>
      </c>
      <c r="C10" s="2">
        <v>44999.67818287037</v>
      </c>
      <c r="D10" s="1" t="s">
        <v>39</v>
      </c>
      <c r="E10" s="1" t="s">
        <v>21</v>
      </c>
      <c r="F10" s="1" t="s">
        <v>40</v>
      </c>
      <c r="G10" s="1" t="s">
        <v>22</v>
      </c>
      <c r="H10" s="1" t="s">
        <v>22</v>
      </c>
      <c r="I10" s="1" t="s">
        <v>54</v>
      </c>
      <c r="J10" s="3" t="s">
        <v>55</v>
      </c>
      <c r="K10" s="1" t="s">
        <v>56</v>
      </c>
      <c r="L10" s="1">
        <v>54.0</v>
      </c>
      <c r="M10" s="1">
        <v>0.0</v>
      </c>
      <c r="N10" s="1" t="s">
        <v>26</v>
      </c>
      <c r="O10" s="1">
        <v>228.0</v>
      </c>
      <c r="P10" s="1">
        <v>422.22</v>
      </c>
      <c r="Q10" s="1">
        <v>0.0</v>
      </c>
    </row>
    <row r="11" hidden="1">
      <c r="A11" s="1" t="s">
        <v>18</v>
      </c>
      <c r="B11" s="1" t="s">
        <v>19</v>
      </c>
      <c r="C11" s="2">
        <v>44999.67790509259</v>
      </c>
      <c r="D11" s="1" t="s">
        <v>39</v>
      </c>
      <c r="E11" s="1" t="s">
        <v>21</v>
      </c>
      <c r="F11" s="1" t="s">
        <v>40</v>
      </c>
      <c r="G11" s="1" t="s">
        <v>40</v>
      </c>
      <c r="H11" s="1" t="s">
        <v>22</v>
      </c>
      <c r="I11" s="1" t="s">
        <v>57</v>
      </c>
      <c r="J11" s="3" t="s">
        <v>58</v>
      </c>
      <c r="K11" s="1" t="s">
        <v>59</v>
      </c>
      <c r="L11" s="1">
        <v>894590.0</v>
      </c>
      <c r="M11" s="1">
        <v>894590.0</v>
      </c>
      <c r="N11" s="1" t="s">
        <v>60</v>
      </c>
      <c r="O11" s="1">
        <v>28.0</v>
      </c>
      <c r="P11" s="1">
        <v>0.0</v>
      </c>
      <c r="Q11" s="1">
        <v>0.0</v>
      </c>
    </row>
    <row r="12" hidden="1">
      <c r="A12" s="1" t="s">
        <v>18</v>
      </c>
      <c r="B12" s="1" t="s">
        <v>19</v>
      </c>
      <c r="C12" s="2">
        <v>44999.599375</v>
      </c>
      <c r="D12" s="1" t="s">
        <v>31</v>
      </c>
      <c r="E12" s="1" t="s">
        <v>21</v>
      </c>
      <c r="F12" s="1" t="s">
        <v>40</v>
      </c>
      <c r="G12" s="1" t="s">
        <v>40</v>
      </c>
      <c r="H12" s="1" t="s">
        <v>22</v>
      </c>
      <c r="I12" s="1" t="s">
        <v>61</v>
      </c>
      <c r="J12" s="3" t="s">
        <v>62</v>
      </c>
      <c r="K12" s="1" t="s">
        <v>63</v>
      </c>
      <c r="L12" s="1">
        <v>15855.0</v>
      </c>
      <c r="M12" s="1">
        <v>15855.0</v>
      </c>
      <c r="N12" s="1" t="s">
        <v>64</v>
      </c>
      <c r="O12" s="1">
        <v>302.0</v>
      </c>
      <c r="P12" s="1" t="s">
        <v>65</v>
      </c>
      <c r="Q12" s="1">
        <v>0.0</v>
      </c>
    </row>
    <row r="13" hidden="1">
      <c r="A13" s="1" t="s">
        <v>18</v>
      </c>
      <c r="B13" s="1" t="s">
        <v>19</v>
      </c>
      <c r="C13" s="2">
        <v>44999.599375</v>
      </c>
      <c r="D13" s="1" t="s">
        <v>31</v>
      </c>
      <c r="E13" s="1" t="s">
        <v>21</v>
      </c>
      <c r="F13" s="1" t="s">
        <v>40</v>
      </c>
      <c r="G13" s="1" t="s">
        <v>40</v>
      </c>
      <c r="H13" s="1" t="s">
        <v>22</v>
      </c>
      <c r="I13" s="1" t="s">
        <v>66</v>
      </c>
      <c r="J13" s="3" t="s">
        <v>67</v>
      </c>
      <c r="K13" s="1" t="s">
        <v>68</v>
      </c>
      <c r="L13" s="1">
        <v>1673.0</v>
      </c>
      <c r="M13" s="1">
        <v>1673.0</v>
      </c>
      <c r="N13" s="1" t="s">
        <v>69</v>
      </c>
      <c r="O13" s="1">
        <v>0.0</v>
      </c>
      <c r="P13" s="1">
        <v>0.0</v>
      </c>
      <c r="Q13" s="1">
        <v>0.0</v>
      </c>
    </row>
    <row r="14" hidden="1">
      <c r="A14" s="1" t="s">
        <v>18</v>
      </c>
      <c r="B14" s="1" t="s">
        <v>19</v>
      </c>
      <c r="C14" s="2">
        <v>44999.599375</v>
      </c>
      <c r="D14" s="1" t="s">
        <v>31</v>
      </c>
      <c r="E14" s="1" t="s">
        <v>21</v>
      </c>
      <c r="F14" s="1" t="s">
        <v>40</v>
      </c>
      <c r="G14" s="1" t="s">
        <v>40</v>
      </c>
      <c r="H14" s="1" t="s">
        <v>22</v>
      </c>
      <c r="I14" s="1" t="s">
        <v>66</v>
      </c>
      <c r="J14" s="3" t="s">
        <v>70</v>
      </c>
      <c r="K14" s="1" t="s">
        <v>71</v>
      </c>
      <c r="L14" s="1">
        <v>5525.0</v>
      </c>
      <c r="M14" s="1">
        <v>5525.0</v>
      </c>
      <c r="N14" s="1" t="s">
        <v>72</v>
      </c>
      <c r="O14" s="1">
        <v>0.0</v>
      </c>
      <c r="P14" s="1">
        <v>0.0</v>
      </c>
      <c r="Q14" s="1">
        <v>0.0</v>
      </c>
    </row>
    <row r="15">
      <c r="A15" s="1" t="s">
        <v>18</v>
      </c>
      <c r="B15" s="1" t="s">
        <v>19</v>
      </c>
      <c r="C15" s="2">
        <v>44995.78681712963</v>
      </c>
      <c r="D15" s="1" t="s">
        <v>31</v>
      </c>
      <c r="E15" s="1" t="s">
        <v>21</v>
      </c>
      <c r="F15" s="1" t="s">
        <v>22</v>
      </c>
      <c r="G15" s="1" t="s">
        <v>22</v>
      </c>
      <c r="H15" s="1" t="s">
        <v>22</v>
      </c>
      <c r="I15" s="1" t="s">
        <v>73</v>
      </c>
      <c r="J15" s="3" t="s">
        <v>74</v>
      </c>
      <c r="K15" s="1" t="s">
        <v>75</v>
      </c>
      <c r="L15" s="1">
        <v>2875.0</v>
      </c>
      <c r="M15" s="1">
        <v>0.0</v>
      </c>
      <c r="N15" s="1" t="s">
        <v>38</v>
      </c>
      <c r="O15" s="1">
        <v>49.0</v>
      </c>
      <c r="P15" s="1">
        <v>1.7</v>
      </c>
      <c r="Q15" s="1">
        <v>0.0</v>
      </c>
    </row>
    <row r="16" hidden="1">
      <c r="A16" s="1" t="s">
        <v>18</v>
      </c>
      <c r="B16" s="1" t="s">
        <v>19</v>
      </c>
      <c r="C16" s="2">
        <v>44995.77685185185</v>
      </c>
      <c r="D16" s="1" t="s">
        <v>39</v>
      </c>
      <c r="E16" s="1" t="s">
        <v>21</v>
      </c>
      <c r="F16" s="1" t="s">
        <v>40</v>
      </c>
      <c r="G16" s="1" t="s">
        <v>40</v>
      </c>
      <c r="H16" s="1" t="s">
        <v>22</v>
      </c>
      <c r="I16" s="1" t="s">
        <v>61</v>
      </c>
      <c r="J16" s="3" t="s">
        <v>76</v>
      </c>
      <c r="K16" s="1" t="s">
        <v>77</v>
      </c>
      <c r="L16" s="1">
        <v>56208.0</v>
      </c>
      <c r="M16" s="1">
        <v>56208.0</v>
      </c>
      <c r="N16" s="1" t="s">
        <v>78</v>
      </c>
      <c r="O16" s="1">
        <v>871.0</v>
      </c>
      <c r="P16" s="1" t="s">
        <v>79</v>
      </c>
      <c r="Q16" s="1">
        <v>0.0</v>
      </c>
    </row>
    <row r="17" hidden="1">
      <c r="A17" s="1" t="s">
        <v>18</v>
      </c>
      <c r="B17" s="1" t="s">
        <v>19</v>
      </c>
      <c r="C17" s="2">
        <v>44995.73105324074</v>
      </c>
      <c r="D17" s="1" t="s">
        <v>31</v>
      </c>
      <c r="E17" s="1" t="s">
        <v>21</v>
      </c>
      <c r="F17" s="1" t="s">
        <v>40</v>
      </c>
      <c r="G17" s="1" t="s">
        <v>40</v>
      </c>
      <c r="H17" s="1" t="s">
        <v>22</v>
      </c>
      <c r="I17" s="1" t="s">
        <v>80</v>
      </c>
      <c r="J17" s="3" t="s">
        <v>81</v>
      </c>
      <c r="K17" s="1" t="s">
        <v>82</v>
      </c>
      <c r="L17" s="1">
        <v>6321373.0</v>
      </c>
      <c r="M17" s="1">
        <v>6321373.0</v>
      </c>
      <c r="N17" s="1" t="s">
        <v>83</v>
      </c>
      <c r="O17" s="1">
        <v>3276.0</v>
      </c>
      <c r="P17" s="1" t="s">
        <v>84</v>
      </c>
      <c r="Q17" s="1">
        <v>3.0</v>
      </c>
    </row>
    <row r="18" hidden="1">
      <c r="A18" s="1" t="s">
        <v>18</v>
      </c>
      <c r="B18" s="1" t="s">
        <v>19</v>
      </c>
      <c r="C18" s="2">
        <v>44995.66719907407</v>
      </c>
      <c r="D18" s="1" t="s">
        <v>39</v>
      </c>
      <c r="E18" s="1" t="s">
        <v>21</v>
      </c>
      <c r="F18" s="1" t="s">
        <v>40</v>
      </c>
      <c r="G18" s="1" t="s">
        <v>40</v>
      </c>
      <c r="H18" s="1" t="s">
        <v>22</v>
      </c>
      <c r="I18" s="1" t="s">
        <v>61</v>
      </c>
      <c r="J18" s="3" t="s">
        <v>85</v>
      </c>
      <c r="K18" s="1" t="s">
        <v>86</v>
      </c>
      <c r="L18" s="1">
        <v>211660.0</v>
      </c>
      <c r="M18" s="1">
        <v>211660.0</v>
      </c>
      <c r="N18" s="1" t="s">
        <v>87</v>
      </c>
      <c r="O18" s="1">
        <v>2779.0</v>
      </c>
      <c r="P18" s="1" t="s">
        <v>88</v>
      </c>
      <c r="Q18" s="1">
        <v>0.0</v>
      </c>
    </row>
    <row r="19" hidden="1">
      <c r="A19" s="1" t="s">
        <v>18</v>
      </c>
      <c r="B19" s="1" t="s">
        <v>19</v>
      </c>
      <c r="C19" s="2">
        <v>44995.46109953704</v>
      </c>
      <c r="D19" s="1" t="s">
        <v>31</v>
      </c>
      <c r="E19" s="1" t="s">
        <v>21</v>
      </c>
      <c r="F19" s="1" t="s">
        <v>40</v>
      </c>
      <c r="G19" s="1" t="s">
        <v>40</v>
      </c>
      <c r="H19" s="1" t="s">
        <v>22</v>
      </c>
      <c r="I19" s="1" t="s">
        <v>89</v>
      </c>
      <c r="J19" s="3" t="s">
        <v>90</v>
      </c>
      <c r="K19" s="1" t="s">
        <v>91</v>
      </c>
      <c r="L19" s="1">
        <v>4375792.0</v>
      </c>
      <c r="M19" s="1">
        <v>4375792.0</v>
      </c>
      <c r="N19" s="1" t="s">
        <v>92</v>
      </c>
      <c r="O19" s="1">
        <v>846.0</v>
      </c>
      <c r="P19" s="1" t="s">
        <v>93</v>
      </c>
      <c r="Q19" s="1">
        <v>2.0</v>
      </c>
    </row>
    <row r="20">
      <c r="A20" s="1" t="s">
        <v>18</v>
      </c>
      <c r="B20" s="1" t="s">
        <v>19</v>
      </c>
      <c r="C20" s="2">
        <v>44994.802083333336</v>
      </c>
      <c r="D20" s="1" t="s">
        <v>31</v>
      </c>
      <c r="E20" s="1" t="s">
        <v>21</v>
      </c>
      <c r="F20" s="1" t="s">
        <v>22</v>
      </c>
      <c r="G20" s="1" t="s">
        <v>22</v>
      </c>
      <c r="H20" s="1" t="s">
        <v>22</v>
      </c>
      <c r="I20" s="1" t="s">
        <v>94</v>
      </c>
      <c r="J20" s="3" t="s">
        <v>95</v>
      </c>
      <c r="K20" s="1" t="s">
        <v>96</v>
      </c>
      <c r="L20" s="1">
        <v>2535.0</v>
      </c>
      <c r="M20" s="1">
        <v>0.0</v>
      </c>
      <c r="N20" s="1" t="s">
        <v>97</v>
      </c>
      <c r="O20" s="1">
        <v>52.0</v>
      </c>
      <c r="P20" s="1">
        <v>2.05</v>
      </c>
      <c r="Q20" s="1">
        <v>0.0</v>
      </c>
    </row>
    <row r="21">
      <c r="A21" s="1" t="s">
        <v>18</v>
      </c>
      <c r="B21" s="1" t="s">
        <v>19</v>
      </c>
      <c r="C21" s="2">
        <v>44993.52680555556</v>
      </c>
      <c r="D21" s="1" t="s">
        <v>31</v>
      </c>
      <c r="E21" s="1" t="s">
        <v>21</v>
      </c>
      <c r="F21" s="1" t="s">
        <v>22</v>
      </c>
      <c r="G21" s="1" t="s">
        <v>22</v>
      </c>
      <c r="H21" s="1" t="s">
        <v>22</v>
      </c>
      <c r="I21" s="1" t="s">
        <v>98</v>
      </c>
      <c r="J21" s="3" t="s">
        <v>99</v>
      </c>
      <c r="K21" s="1" t="s">
        <v>100</v>
      </c>
      <c r="L21" s="1">
        <v>1828.0</v>
      </c>
      <c r="M21" s="1">
        <v>0.0</v>
      </c>
      <c r="N21" s="1" t="s">
        <v>26</v>
      </c>
      <c r="O21" s="1">
        <v>29.0</v>
      </c>
      <c r="P21" s="1">
        <v>1.59</v>
      </c>
      <c r="Q21" s="1">
        <v>0.0</v>
      </c>
    </row>
    <row r="22" hidden="1">
      <c r="A22" s="1" t="s">
        <v>18</v>
      </c>
      <c r="B22" s="1" t="s">
        <v>19</v>
      </c>
      <c r="C22" s="2">
        <v>44993.44399305555</v>
      </c>
      <c r="D22" s="1" t="s">
        <v>39</v>
      </c>
      <c r="E22" s="1" t="s">
        <v>21</v>
      </c>
      <c r="F22" s="1" t="s">
        <v>40</v>
      </c>
      <c r="G22" s="1" t="s">
        <v>40</v>
      </c>
      <c r="H22" s="1" t="s">
        <v>22</v>
      </c>
      <c r="I22" s="1" t="s">
        <v>41</v>
      </c>
      <c r="J22" s="3" t="s">
        <v>101</v>
      </c>
      <c r="K22" s="1" t="s">
        <v>102</v>
      </c>
      <c r="L22" s="1">
        <v>8279.0</v>
      </c>
      <c r="M22" s="1">
        <v>8279.0</v>
      </c>
      <c r="N22" s="1" t="s">
        <v>103</v>
      </c>
      <c r="O22" s="1">
        <v>168.0</v>
      </c>
      <c r="P22" s="1" t="s">
        <v>104</v>
      </c>
      <c r="Q22" s="1">
        <v>0.0</v>
      </c>
    </row>
    <row r="23" hidden="1">
      <c r="A23" s="1" t="s">
        <v>18</v>
      </c>
      <c r="B23" s="1" t="s">
        <v>19</v>
      </c>
      <c r="C23" s="2">
        <v>44993.44399305555</v>
      </c>
      <c r="D23" s="1" t="s">
        <v>39</v>
      </c>
      <c r="E23" s="1" t="s">
        <v>21</v>
      </c>
      <c r="F23" s="1" t="s">
        <v>40</v>
      </c>
      <c r="G23" s="1" t="s">
        <v>40</v>
      </c>
      <c r="H23" s="1" t="s">
        <v>22</v>
      </c>
      <c r="I23" s="1" t="s">
        <v>41</v>
      </c>
      <c r="J23" s="3" t="s">
        <v>105</v>
      </c>
      <c r="K23" s="1" t="s">
        <v>106</v>
      </c>
      <c r="L23" s="1">
        <v>94581.0</v>
      </c>
      <c r="M23" s="1">
        <v>94581.0</v>
      </c>
      <c r="N23" s="1" t="s">
        <v>107</v>
      </c>
      <c r="O23" s="1">
        <v>2358.0</v>
      </c>
      <c r="P23" s="1" t="s">
        <v>108</v>
      </c>
      <c r="Q23" s="1">
        <v>0.0</v>
      </c>
    </row>
    <row r="24" hidden="1">
      <c r="A24" s="1" t="s">
        <v>18</v>
      </c>
      <c r="B24" s="1" t="s">
        <v>19</v>
      </c>
      <c r="C24" s="2">
        <v>44992.703310185185</v>
      </c>
      <c r="D24" s="1" t="s">
        <v>39</v>
      </c>
      <c r="E24" s="1" t="s">
        <v>21</v>
      </c>
      <c r="F24" s="1" t="s">
        <v>40</v>
      </c>
      <c r="G24" s="1" t="s">
        <v>22</v>
      </c>
      <c r="H24" s="1" t="s">
        <v>22</v>
      </c>
      <c r="I24" s="1" t="s">
        <v>109</v>
      </c>
      <c r="J24" s="3" t="s">
        <v>110</v>
      </c>
      <c r="K24" s="1" t="s">
        <v>111</v>
      </c>
      <c r="L24" s="1">
        <v>1.0</v>
      </c>
      <c r="M24" s="1">
        <v>0.0</v>
      </c>
      <c r="N24" s="1">
        <v>1.0</v>
      </c>
      <c r="O24" s="1">
        <v>0.0</v>
      </c>
      <c r="P24" s="1">
        <v>0.0</v>
      </c>
      <c r="Q24" s="1">
        <v>0.0</v>
      </c>
    </row>
    <row r="25" hidden="1">
      <c r="A25" s="1" t="s">
        <v>18</v>
      </c>
      <c r="B25" s="1" t="s">
        <v>19</v>
      </c>
      <c r="C25" s="2">
        <v>44992.684328703705</v>
      </c>
      <c r="D25" s="1" t="s">
        <v>39</v>
      </c>
      <c r="E25" s="1" t="s">
        <v>21</v>
      </c>
      <c r="F25" s="1" t="s">
        <v>40</v>
      </c>
      <c r="G25" s="1" t="s">
        <v>40</v>
      </c>
      <c r="H25" s="1" t="s">
        <v>22</v>
      </c>
      <c r="I25" s="1" t="s">
        <v>112</v>
      </c>
      <c r="J25" s="3" t="s">
        <v>113</v>
      </c>
      <c r="K25" s="1" t="s">
        <v>114</v>
      </c>
      <c r="L25" s="1">
        <v>4235.0</v>
      </c>
      <c r="M25" s="1">
        <v>4235.0</v>
      </c>
      <c r="N25" s="1" t="s">
        <v>115</v>
      </c>
      <c r="O25" s="1">
        <v>53.0</v>
      </c>
      <c r="P25" s="1" t="s">
        <v>116</v>
      </c>
      <c r="Q25" s="1">
        <v>0.0</v>
      </c>
    </row>
    <row r="26" hidden="1">
      <c r="A26" s="1" t="s">
        <v>18</v>
      </c>
      <c r="B26" s="1" t="s">
        <v>19</v>
      </c>
      <c r="C26" s="2">
        <v>44992.684328703705</v>
      </c>
      <c r="D26" s="1" t="s">
        <v>39</v>
      </c>
      <c r="E26" s="1" t="s">
        <v>21</v>
      </c>
      <c r="F26" s="1" t="s">
        <v>40</v>
      </c>
      <c r="G26" s="1" t="s">
        <v>40</v>
      </c>
      <c r="H26" s="1" t="s">
        <v>22</v>
      </c>
      <c r="I26" s="1" t="s">
        <v>112</v>
      </c>
      <c r="J26" s="3" t="s">
        <v>117</v>
      </c>
      <c r="K26" s="1" t="s">
        <v>118</v>
      </c>
      <c r="L26" s="1">
        <v>186169.0</v>
      </c>
      <c r="M26" s="1">
        <v>186169.0</v>
      </c>
      <c r="N26" s="1" t="s">
        <v>119</v>
      </c>
      <c r="O26" s="1">
        <v>1480.0</v>
      </c>
      <c r="P26" s="1" t="s">
        <v>120</v>
      </c>
      <c r="Q26" s="1">
        <v>0.0</v>
      </c>
    </row>
    <row r="27" hidden="1">
      <c r="A27" s="1" t="s">
        <v>18</v>
      </c>
      <c r="B27" s="1" t="s">
        <v>19</v>
      </c>
      <c r="C27" s="2">
        <v>44992.68429398148</v>
      </c>
      <c r="D27" s="1" t="s">
        <v>39</v>
      </c>
      <c r="E27" s="1" t="s">
        <v>21</v>
      </c>
      <c r="F27" s="1" t="s">
        <v>40</v>
      </c>
      <c r="G27" s="1" t="s">
        <v>40</v>
      </c>
      <c r="H27" s="1" t="s">
        <v>22</v>
      </c>
      <c r="I27" s="1" t="s">
        <v>121</v>
      </c>
      <c r="J27" s="3" t="s">
        <v>122</v>
      </c>
      <c r="K27" s="1" t="s">
        <v>123</v>
      </c>
      <c r="L27" s="1">
        <v>143336.0</v>
      </c>
      <c r="M27" s="1">
        <v>143336.0</v>
      </c>
      <c r="N27" s="1" t="s">
        <v>124</v>
      </c>
      <c r="O27" s="1">
        <v>1557.0</v>
      </c>
      <c r="P27" s="1" t="s">
        <v>125</v>
      </c>
      <c r="Q27" s="1">
        <v>0.0</v>
      </c>
    </row>
    <row r="28">
      <c r="A28" s="1" t="s">
        <v>18</v>
      </c>
      <c r="B28" s="1" t="s">
        <v>19</v>
      </c>
      <c r="C28" s="2">
        <v>44990.33358796296</v>
      </c>
      <c r="D28" s="1" t="s">
        <v>20</v>
      </c>
      <c r="E28" s="1" t="s">
        <v>21</v>
      </c>
      <c r="F28" s="1" t="s">
        <v>22</v>
      </c>
      <c r="G28" s="1" t="s">
        <v>22</v>
      </c>
      <c r="H28" s="1" t="s">
        <v>22</v>
      </c>
      <c r="I28" s="1" t="s">
        <v>126</v>
      </c>
      <c r="J28" s="3" t="s">
        <v>127</v>
      </c>
      <c r="K28" s="1" t="s">
        <v>128</v>
      </c>
      <c r="L28" s="1">
        <v>6108.0</v>
      </c>
      <c r="M28" s="1">
        <v>0.0</v>
      </c>
      <c r="N28" s="1" t="s">
        <v>129</v>
      </c>
      <c r="O28" s="1">
        <v>75.0</v>
      </c>
      <c r="P28" s="1">
        <v>1.23</v>
      </c>
      <c r="Q28" s="1">
        <v>1.0</v>
      </c>
    </row>
    <row r="29">
      <c r="A29" s="1" t="s">
        <v>18</v>
      </c>
      <c r="B29" s="1" t="s">
        <v>19</v>
      </c>
      <c r="C29" s="2">
        <v>44989.437731481485</v>
      </c>
      <c r="D29" s="1" t="s">
        <v>20</v>
      </c>
      <c r="E29" s="1" t="s">
        <v>21</v>
      </c>
      <c r="F29" s="1" t="s">
        <v>22</v>
      </c>
      <c r="G29" s="1" t="s">
        <v>22</v>
      </c>
      <c r="H29" s="1" t="s">
        <v>22</v>
      </c>
      <c r="I29" s="1" t="s">
        <v>130</v>
      </c>
      <c r="J29" s="3" t="s">
        <v>131</v>
      </c>
      <c r="K29" s="1" t="s">
        <v>132</v>
      </c>
      <c r="L29" s="1">
        <v>9848.0</v>
      </c>
      <c r="M29" s="1">
        <v>0.0</v>
      </c>
      <c r="N29" s="1" t="s">
        <v>133</v>
      </c>
      <c r="O29" s="1">
        <v>117.0</v>
      </c>
      <c r="P29" s="1">
        <v>1.19</v>
      </c>
      <c r="Q29" s="1">
        <v>0.0</v>
      </c>
    </row>
    <row r="30">
      <c r="A30" s="1" t="s">
        <v>18</v>
      </c>
      <c r="B30" s="1" t="s">
        <v>19</v>
      </c>
      <c r="C30" s="2">
        <v>44988.79079861111</v>
      </c>
      <c r="D30" s="1" t="s">
        <v>20</v>
      </c>
      <c r="E30" s="1" t="s">
        <v>21</v>
      </c>
      <c r="F30" s="1" t="s">
        <v>22</v>
      </c>
      <c r="G30" s="1" t="s">
        <v>22</v>
      </c>
      <c r="H30" s="1" t="s">
        <v>22</v>
      </c>
      <c r="I30" s="1" t="s">
        <v>134</v>
      </c>
      <c r="J30" s="3" t="s">
        <v>135</v>
      </c>
      <c r="K30" s="1" t="s">
        <v>136</v>
      </c>
      <c r="L30" s="1">
        <v>4946.0</v>
      </c>
      <c r="M30" s="1">
        <v>0.0</v>
      </c>
      <c r="N30" s="1" t="s">
        <v>26</v>
      </c>
      <c r="O30" s="1">
        <v>33.0</v>
      </c>
      <c r="P30" s="1">
        <v>0.67</v>
      </c>
      <c r="Q30" s="1">
        <v>0.0</v>
      </c>
    </row>
    <row r="31" hidden="1">
      <c r="A31" s="1" t="s">
        <v>18</v>
      </c>
      <c r="B31" s="1" t="s">
        <v>19</v>
      </c>
      <c r="C31" s="2">
        <v>44988.660462962966</v>
      </c>
      <c r="D31" s="1" t="s">
        <v>39</v>
      </c>
      <c r="E31" s="1" t="s">
        <v>21</v>
      </c>
      <c r="F31" s="1" t="s">
        <v>40</v>
      </c>
      <c r="G31" s="1" t="s">
        <v>40</v>
      </c>
      <c r="H31" s="1" t="s">
        <v>22</v>
      </c>
      <c r="I31" s="1" t="s">
        <v>137</v>
      </c>
      <c r="J31" s="3" t="s">
        <v>138</v>
      </c>
      <c r="K31" s="1" t="s">
        <v>139</v>
      </c>
      <c r="L31" s="1">
        <v>4560.0</v>
      </c>
      <c r="M31" s="1">
        <v>4560.0</v>
      </c>
      <c r="N31" s="1" t="s">
        <v>140</v>
      </c>
      <c r="O31" s="1">
        <v>89.0</v>
      </c>
      <c r="P31" s="1" t="s">
        <v>141</v>
      </c>
      <c r="Q31" s="1">
        <v>0.0</v>
      </c>
    </row>
    <row r="32" hidden="1">
      <c r="A32" s="1" t="s">
        <v>18</v>
      </c>
      <c r="B32" s="1" t="s">
        <v>19</v>
      </c>
      <c r="C32" s="2">
        <v>44988.66011574074</v>
      </c>
      <c r="D32" s="1" t="s">
        <v>39</v>
      </c>
      <c r="E32" s="1" t="s">
        <v>21</v>
      </c>
      <c r="F32" s="1" t="s">
        <v>40</v>
      </c>
      <c r="G32" s="1" t="s">
        <v>40</v>
      </c>
      <c r="H32" s="1" t="s">
        <v>22</v>
      </c>
      <c r="I32" s="1" t="s">
        <v>142</v>
      </c>
      <c r="J32" s="3" t="s">
        <v>143</v>
      </c>
      <c r="K32" s="1" t="s">
        <v>144</v>
      </c>
      <c r="L32" s="1">
        <v>10219.0</v>
      </c>
      <c r="M32" s="1">
        <v>10219.0</v>
      </c>
      <c r="N32" s="1" t="s">
        <v>116</v>
      </c>
      <c r="O32" s="1">
        <v>87.0</v>
      </c>
      <c r="P32" s="1" t="s">
        <v>145</v>
      </c>
      <c r="Q32" s="1">
        <v>0.0</v>
      </c>
    </row>
    <row r="33" hidden="1">
      <c r="A33" s="1" t="s">
        <v>18</v>
      </c>
      <c r="B33" s="1" t="s">
        <v>19</v>
      </c>
      <c r="C33" s="2">
        <v>44988.659525462965</v>
      </c>
      <c r="D33" s="1" t="s">
        <v>39</v>
      </c>
      <c r="E33" s="1" t="s">
        <v>21</v>
      </c>
      <c r="F33" s="1" t="s">
        <v>40</v>
      </c>
      <c r="G33" s="1" t="s">
        <v>40</v>
      </c>
      <c r="H33" s="1" t="s">
        <v>22</v>
      </c>
      <c r="I33" s="1" t="s">
        <v>146</v>
      </c>
      <c r="J33" s="3" t="s">
        <v>147</v>
      </c>
      <c r="K33" s="1" t="s">
        <v>148</v>
      </c>
      <c r="L33" s="1">
        <v>6987.0</v>
      </c>
      <c r="M33" s="1">
        <v>6987.0</v>
      </c>
      <c r="N33" s="1" t="s">
        <v>149</v>
      </c>
      <c r="O33" s="1">
        <v>92.0</v>
      </c>
      <c r="P33" s="1" t="s">
        <v>69</v>
      </c>
      <c r="Q33" s="1">
        <v>0.0</v>
      </c>
    </row>
  </sheetData>
  <autoFilter ref="$A$1:$Q$34">
    <filterColumn colId="6">
      <filters blank="1">
        <filter val="No"/>
        <filter val="Promoted"/>
      </filters>
    </filterColumn>
    <filterColumn colId="5">
      <filters blank="1">
        <filter val="No"/>
        <filter val="Dark"/>
      </filters>
    </filterColumn>
  </autoFilter>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6336.0</v>
      </c>
      <c r="D1" s="1">
        <v>1.34</v>
      </c>
      <c r="G1" s="1">
        <v>85.0</v>
      </c>
    </row>
    <row r="2">
      <c r="A2" s="1">
        <v>3360.0</v>
      </c>
      <c r="D2" s="1">
        <v>1.43</v>
      </c>
      <c r="G2" s="1">
        <v>48.0</v>
      </c>
    </row>
    <row r="3">
      <c r="A3" s="1">
        <v>1514.0</v>
      </c>
      <c r="D3" s="1">
        <v>2.18</v>
      </c>
      <c r="G3" s="1">
        <v>33.0</v>
      </c>
    </row>
    <row r="4">
      <c r="A4" s="1">
        <v>10547.0</v>
      </c>
      <c r="D4" s="1">
        <v>0.9</v>
      </c>
      <c r="G4" s="1">
        <v>95.0</v>
      </c>
    </row>
    <row r="5">
      <c r="A5" s="1">
        <v>4275.0</v>
      </c>
      <c r="D5" s="1">
        <v>0.89</v>
      </c>
      <c r="G5" s="1">
        <v>38.0</v>
      </c>
    </row>
    <row r="6">
      <c r="A6" s="1">
        <v>2531.0</v>
      </c>
      <c r="D6" s="1">
        <v>2.17</v>
      </c>
      <c r="G6" s="1">
        <v>55.0</v>
      </c>
    </row>
    <row r="7">
      <c r="A7" s="1">
        <v>2875.0</v>
      </c>
      <c r="D7" s="1">
        <v>1.7</v>
      </c>
      <c r="G7" s="1">
        <v>49.0</v>
      </c>
    </row>
    <row r="8">
      <c r="A8" s="1">
        <v>2535.0</v>
      </c>
      <c r="D8" s="1">
        <v>2.05</v>
      </c>
      <c r="G8" s="1">
        <v>52.0</v>
      </c>
    </row>
    <row r="9">
      <c r="A9" s="1">
        <v>1828.0</v>
      </c>
      <c r="D9" s="1">
        <v>1.59</v>
      </c>
      <c r="G9" s="1">
        <v>29.0</v>
      </c>
    </row>
    <row r="10">
      <c r="A10" s="1">
        <v>6108.0</v>
      </c>
      <c r="D10" s="1">
        <v>1.23</v>
      </c>
      <c r="G10" s="1">
        <v>75.0</v>
      </c>
    </row>
    <row r="11">
      <c r="A11" s="1">
        <v>9848.0</v>
      </c>
      <c r="D11" s="1">
        <v>1.19</v>
      </c>
      <c r="G11" s="1">
        <v>117.0</v>
      </c>
    </row>
    <row r="12">
      <c r="A12" s="1">
        <v>4946.0</v>
      </c>
      <c r="D12" s="1">
        <v>0.67</v>
      </c>
      <c r="G12" s="1">
        <v>33.0</v>
      </c>
    </row>
    <row r="13">
      <c r="A13" s="4">
        <f>AVERAGE(A1:A12)</f>
        <v>4725.25</v>
      </c>
      <c r="D13" s="5">
        <f>AVERAGE(D1:D12)</f>
        <v>1.445</v>
      </c>
      <c r="G13" s="6">
        <f>SUM(G1:G12)</f>
        <v>709</v>
      </c>
    </row>
    <row r="15">
      <c r="A15" s="4"/>
      <c r="D15" s="5"/>
    </row>
    <row r="16">
      <c r="B16" s="7">
        <f>4054/3867-1</f>
        <v>0.04835790018</v>
      </c>
    </row>
    <row r="17">
      <c r="G17" s="7"/>
    </row>
    <row r="18">
      <c r="A18" s="7">
        <f>4725/3867-1</f>
        <v>0.2218774244</v>
      </c>
    </row>
  </sheetData>
  <drawing r:id="rId1"/>
</worksheet>
</file>