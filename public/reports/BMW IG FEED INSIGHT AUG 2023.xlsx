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6_Content performance" sheetId="1" r:id="rId4"/>
  </sheets>
  <definedNames/>
  <calcPr/>
</workbook>
</file>

<file path=xl/sharedStrings.xml><?xml version="1.0" encoding="utf-8"?>
<sst xmlns="http://schemas.openxmlformats.org/spreadsheetml/2006/main" count="159" uniqueCount="67">
  <si>
    <t>sep=</t>
  </si>
  <si>
    <t>Network</t>
  </si>
  <si>
    <t>Page Name</t>
  </si>
  <si>
    <t>Published time (Asia/Jakarta)</t>
  </si>
  <si>
    <t>Post Type</t>
  </si>
  <si>
    <t>Placement</t>
  </si>
  <si>
    <t>Dark</t>
  </si>
  <si>
    <t>Promoted</t>
  </si>
  <si>
    <t>Reshare</t>
  </si>
  <si>
    <t>Post text</t>
  </si>
  <si>
    <t>Post URL</t>
  </si>
  <si>
    <t>Post ID</t>
  </si>
  <si>
    <t>Reach avg.</t>
  </si>
  <si>
    <t>Likes</t>
  </si>
  <si>
    <t>Comments</t>
  </si>
  <si>
    <t>Saves</t>
  </si>
  <si>
    <t>Engagement rate (reach)</t>
  </si>
  <si>
    <t>Video views</t>
  </si>
  <si>
    <t>INSTAGRAM</t>
  </si>
  <si>
    <t>BMW Indonesia</t>
  </si>
  <si>
    <t>CAROUSEL</t>
  </si>
  <si>
    <t>Timeline</t>
  </si>
  <si>
    <t>No</t>
  </si>
  <si>
    <t>The race was incredibly thrilling and full of joy. We're excited to once again join the @maybankmarathon as the Official Sustainable Mobility Partner, featuring THE iX and THE i4 as the all-electric lead vehicles.   Find out more about the BMW i by visiting our website or contact your nearest authorized dealer.  #BornElectric #MMB2023 #MaybankMarathon</t>
  </si>
  <si>
    <t>https://www.instagram.com/p/CwbwtsJPDkc/</t>
  </si>
  <si>
    <t>18225651370241999</t>
  </si>
  <si>
    <t>BMW has returned to take up the role of the main sponsor for MACAN Gala 2023 to support high-quality art education among Indonesian youth and showing dedication to social sustainability.   We are also proudly presenting THE i7 embodies luxury, innovations and sustainability, ensuring a joyful driving experience.   Contact your nearest BMW authorized dealer to test drive or visit bmw.co.id to learn more about THE i7.</t>
  </si>
  <si>
    <t>https://www.instagram.com/p/CwXskw_v3_c/</t>
  </si>
  <si>
    <t>17947232630572586</t>
  </si>
  <si>
    <t>IMAGE</t>
  </si>
  <si>
    <t>BMW and Raffles Bali collaborate to offer an enhanced transfer service - the first shuttle of its kind in Bali - that promises both comfortability and sustainability.   The BMW car transfer service, available exclusively at Raffles in Bali and featuring both the X7 and the iX models, offers an upscale and eco-friendly transportation solution for guests during their stay in Bali.</t>
  </si>
  <si>
    <t>https://www.instagram.com/p/CwHDx1wyk2g/</t>
  </si>
  <si>
    <t>17967659177605270</t>
  </si>
  <si>
    <t>-</t>
  </si>
  <si>
    <t>Expressive. Powerful. Opulent.  The XM transform the meaning of existing on the edge into an artform.  Experience engineering perfection with the BMW M Hybrid Power along with a luxurious design that elevates your state of joy.  Witness #TheUltimateYou only at The BMW Pavilion, GIIAS 2023, until 20 August.  — M Hybrid Power: a 4.4-liter BMW M TwinPower Turbo V-8 engine paired with a high-performance electric motor.  #GIIAS2023 #BMWGIIAS2023</t>
  </si>
  <si>
    <t>https://www.instagram.com/p/CwFpk5jyhpq/</t>
  </si>
  <si>
    <t>17999146658013298</t>
  </si>
  <si>
    <t>We are excited to announce that BMW Group Indonesia has once again taken on the role as the Sustainable Mobility Partner for Maybank Marathon 2023.   Strengthening our position as the best-selling premium EV in Indonesia, today we handed over 22 BMW units, ranging from the 100% electric THE iX, THE i4, to our most luxurious model, The BMW 7 Series.  In this year's Maybank Marathon, THE iX is making its comeback as the lead car for the 10K category, providing emissions-free comfort for elite athletes to reach the finish line.  Stay tuned to our Instagram as we take you on an electrifying run at Maybank Marathon 2023.  #BMWIndonesia #BMWMaybankMarathon #BMWMMB2023</t>
  </si>
  <si>
    <t>https://www.instagram.com/p/CwFloItya9g/</t>
  </si>
  <si>
    <t>17891947700860296</t>
  </si>
  <si>
    <t>Have you visited the BMW Pavilion at GIIAS 2023? Make way for JOY as you discover the complete BMW experience with us.  Indulge in luxury at the Luxury Class Lounge, thrill at the M Corner, embrace sustainability at the i Corner, customize at M Performance Parts, and when you're ready to unwind, the BMW Lounge offers a comfortable retreat.   We are open daily until 20 August, from 11 am to 9 pm (weekdays) and 10 am to 9 pm (public holiday/weekends) at Convention Hall, ICE - BSD City.  #GIIAS2023 #BMWGIIAS2023</t>
  </si>
  <si>
    <t>https://www.instagram.com/p/Cv_9RxVvovc/</t>
  </si>
  <si>
    <t>17942389325595339</t>
  </si>
  <si>
    <t>The Luxury EV Experience, in collaboration with @bluebirdgroup, is now available at @grandhyattjakarta.   Presented by Mr. Ramesh Divyanathan, President Director of BMW Indonesia, Mr. Bayu Riyanto, VP Sales and Network Development of BMW Indonesia, Mr. Robert Dallimore, General Manager of Grand Hyatt Jakarta, and Mr. Bambang Djojosumitro, GM Hotels Operations of Bluebird Group, as they usher in a new era of sustainable luxury.  Now all guests can indulge in eco-friendly transportation through the luxurious all-electric BMW iX which is equipped with advanced sustainable technology.   To learn more about THE iX, please contact your nearest Authorized BMW Dealer or visit bmw.co.id.</t>
  </si>
  <si>
    <t>https://www.instagram.com/p/Cv9yrOcPAlu/</t>
  </si>
  <si>
    <t>18032687875553669</t>
  </si>
  <si>
    <t>Make your BMW stands out on the road with your choice of M Performance Parts, from wheels, steering wheel, exhaust system, carbon door sill, and many more.  Visit the M Performance Parts inside the BMW Pavilion, GIIAS 2023 until 20 August.   #GIIAS2023 #BMWGIIAS2023</t>
  </si>
  <si>
    <t>https://www.instagram.com/p/Cv9MhkFyYsq/</t>
  </si>
  <si>
    <t>17982018455165169</t>
  </si>
  <si>
    <t>As a symphony of high performance, aesthetics, and attitude, THE M2 offers pure driving pleasure.   With an outstanding 460 hp peak output and 550 Nm torque, it hits 0 to 100 km/h in just 4.1 seconds. Enhanced by 19"/20" M light alloy wheels (Double-spoke style 930 M) and Sport Seats with Vernasca Leather, it guarantees JOY in every driving moment.   Experience it exclusively at the BMW Pavilion, GIIAS 2023, until 20 August.  *THE M2 is also available in 6-speed manual transmission with M Carbon Bucket Seats  #TheUltimatePurist #TheUltimateBMW #GIIAS2023 #BMWGIIAS2023</t>
  </si>
  <si>
    <t>https://www.instagram.com/p/Cv4IeEyvh4e/</t>
  </si>
  <si>
    <t>18304438066106270</t>
  </si>
  <si>
    <t>Turn your everyday drive into an extraordinary one with THE BIGGER, BETTER, and BOLDER X1. Designed for urban explorers, its innovation exhilarates your journey.  Experience THE NEW X1 by participating in an exclusive WIN &amp; PLAY Agent X1 at The BMW Pavilion - GIIAS 2023, from August 10-20.  #OwnYourDream #GIIAS2023 #BMWGIIAS2023</t>
  </si>
  <si>
    <t>https://www.instagram.com/p/CvzIZb6SauY/</t>
  </si>
  <si>
    <t>17987414588264675</t>
  </si>
  <si>
    <t>Today marks the official launch of the BMW Pavilion at GIIAS 2023. Thank you to Mr. Airlangga Hartarto, Indonesia's Coordinating Minister for Economic Affairs, and Mr. Yohannes Nangoi, Chairman of GAIKINDO, for the presence at our BMW Pavilion.   During this event, we also proudly introduced THE NEW 7 Series, THE M2, and the remarkable BMW XM. But that's not all; we have other new models waiting for you to see in person.   Make sure you don't miss out to see them yourself only until 20 August 2023 at ICE BSD.  #GIIAS2023 #BMWGIIAS2023</t>
  </si>
  <si>
    <t>https://www.instagram.com/p/CvxH4zZvi4H/</t>
  </si>
  <si>
    <t>17980927142515115</t>
  </si>
  <si>
    <t>Make way for JOY and see our latest models only at GIIAS 2023. Visit our BMW Pavilion at Convention Hall ICE - BSD City, from 10-20 August. Mark your calendar and see you there!  #GIIAS2023</t>
  </si>
  <si>
    <t>https://www.instagram.com/p/Cvv-S6PSace/</t>
  </si>
  <si>
    <t>18106534159324261</t>
  </si>
  <si>
    <t>BMW Indonesia and Bluebird Group proudly present a partnership that redefines eco-luxury.   Elevate your stay at Jakarta's most prestigious hotels while indulging in a premium and sustainable driving experience offered by The Joy is Electric: Luxury EV Experience by @bluebirdgroup, featuring none other than the BMW iX. Immerse yourself in this remarkable service, available for you to experience firsthand at The Westin, Jakarta.  To learn more, contact your nearest BMW authorized dealer or visit bmw.co.id</t>
  </si>
  <si>
    <t>https://www.instagram.com/p/CvtxBRjSCnS/</t>
  </si>
  <si>
    <t>17928713558644411</t>
  </si>
  <si>
    <t>Make way for JOY as you witness  the latest BMW models at GIIAS.   Only at the BMW Pavilion @giias_id on 10-20 Aug 2023. Mark your calendar.</t>
  </si>
  <si>
    <t>https://www.instagram.com/p/CveulNkPiZh/</t>
  </si>
  <si>
    <t>18019658998651984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</si>
</sst>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4">
    <font>
      <sz val="10.0"/>
      <color rgb="FF000000"/>
      <name val="Arial"/>
      <scheme val="minor"/>
    </font>
    <font>
      <color theme="1"/>
      <name val="Arial"/>
      <scheme val="minor"/>
    </font>
    <font>
      <u/>
      <color rgb="FF0000FF"/>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3" numFmtId="0" xfId="0" applyAlignment="1" applyFont="1">
      <alignment horizontal="right" vertical="bottom"/>
    </xf>
    <xf borderId="0" fillId="0" fontId="3" numFmtId="0" xfId="0" applyAlignment="1" applyFont="1">
      <alignment horizontal="right" vertical="bottom"/>
    </xf>
    <xf borderId="0" fillId="0" fontId="3" numFmtId="0" xfId="0" applyAlignment="1" applyFont="1">
      <alignment readingOrder="0" vertical="bottom"/>
    </xf>
    <xf borderId="0" fillId="0" fontId="3" numFmtId="1" xfId="0" applyAlignment="1" applyFont="1" applyNumberFormat="1">
      <alignment horizontal="right" vertical="bottom"/>
    </xf>
    <xf borderId="0" fillId="0" fontId="1" numFmtId="1" xfId="0" applyFont="1" applyNumberFormat="1"/>
    <xf borderId="0" fillId="0" fontId="1" numFmtId="2"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instagram.com/p/CvxH4zZvi4H/" TargetMode="External"/><Relationship Id="rId10" Type="http://schemas.openxmlformats.org/officeDocument/2006/relationships/hyperlink" Target="https://www.instagram.com/p/CvzIZb6SauY/" TargetMode="External"/><Relationship Id="rId13" Type="http://schemas.openxmlformats.org/officeDocument/2006/relationships/hyperlink" Target="https://www.instagram.com/p/CvtxBRjSCnS/" TargetMode="External"/><Relationship Id="rId12" Type="http://schemas.openxmlformats.org/officeDocument/2006/relationships/hyperlink" Target="https://www.instagram.com/p/Cvv-S6PSace/" TargetMode="External"/><Relationship Id="rId1" Type="http://schemas.openxmlformats.org/officeDocument/2006/relationships/hyperlink" Target="https://www.instagram.com/p/CwbwtsJPDkc/" TargetMode="External"/><Relationship Id="rId2" Type="http://schemas.openxmlformats.org/officeDocument/2006/relationships/hyperlink" Target="https://www.instagram.com/p/CwXskw_v3_c/" TargetMode="External"/><Relationship Id="rId3" Type="http://schemas.openxmlformats.org/officeDocument/2006/relationships/hyperlink" Target="https://www.instagram.com/p/CwHDx1wyk2g/" TargetMode="External"/><Relationship Id="rId4" Type="http://schemas.openxmlformats.org/officeDocument/2006/relationships/hyperlink" Target="https://www.instagram.com/p/CwFpk5jyhpq/" TargetMode="External"/><Relationship Id="rId9" Type="http://schemas.openxmlformats.org/officeDocument/2006/relationships/hyperlink" Target="https://www.instagram.com/p/Cv4IeEyvh4e/" TargetMode="External"/><Relationship Id="rId15" Type="http://schemas.openxmlformats.org/officeDocument/2006/relationships/drawing" Target="../drawings/drawing1.xml"/><Relationship Id="rId14" Type="http://schemas.openxmlformats.org/officeDocument/2006/relationships/hyperlink" Target="https://www.instagram.com/p/CveulNkPiZh/" TargetMode="External"/><Relationship Id="rId5" Type="http://schemas.openxmlformats.org/officeDocument/2006/relationships/hyperlink" Target="https://www.instagram.com/p/CwFloItya9g/" TargetMode="External"/><Relationship Id="rId6" Type="http://schemas.openxmlformats.org/officeDocument/2006/relationships/hyperlink" Target="https://www.instagram.com/p/Cv_9RxVvovc/" TargetMode="External"/><Relationship Id="rId7" Type="http://schemas.openxmlformats.org/officeDocument/2006/relationships/hyperlink" Target="https://www.instagram.com/p/Cv9yrOcPAlu/" TargetMode="External"/><Relationship Id="rId8" Type="http://schemas.openxmlformats.org/officeDocument/2006/relationships/hyperlink" Target="https://www.instagram.com/p/Cv9MhkFyYsq/"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c r="Q2" s="1" t="s">
        <v>16</v>
      </c>
      <c r="R2" s="1" t="s">
        <v>17</v>
      </c>
    </row>
    <row r="3">
      <c r="A3" s="1" t="s">
        <v>18</v>
      </c>
      <c r="B3" s="1" t="s">
        <v>19</v>
      </c>
      <c r="C3" s="2">
        <v>45165.45663194444</v>
      </c>
      <c r="D3" s="1" t="s">
        <v>20</v>
      </c>
      <c r="E3" s="1" t="s">
        <v>21</v>
      </c>
      <c r="F3" s="1" t="s">
        <v>22</v>
      </c>
      <c r="G3" s="1" t="s">
        <v>22</v>
      </c>
      <c r="H3" s="1" t="s">
        <v>22</v>
      </c>
      <c r="I3" s="1" t="s">
        <v>23</v>
      </c>
      <c r="J3" s="3" t="s">
        <v>24</v>
      </c>
      <c r="K3" s="1" t="s">
        <v>25</v>
      </c>
      <c r="L3" s="1">
        <v>6199.0</v>
      </c>
      <c r="M3" s="1">
        <v>446.0</v>
      </c>
      <c r="N3" s="1">
        <v>3.0</v>
      </c>
      <c r="O3" s="1">
        <v>7.0</v>
      </c>
      <c r="P3" s="1">
        <f t="shared" ref="P3:P16" si="1">sum(M3:O3)</f>
        <v>456</v>
      </c>
      <c r="Q3" s="1">
        <v>7.36</v>
      </c>
      <c r="R3" s="1">
        <v>0.0</v>
      </c>
    </row>
    <row r="4">
      <c r="A4" s="1" t="s">
        <v>18</v>
      </c>
      <c r="B4" s="1" t="s">
        <v>19</v>
      </c>
      <c r="C4" s="2">
        <v>45163.878067129626</v>
      </c>
      <c r="D4" s="1" t="s">
        <v>20</v>
      </c>
      <c r="E4" s="1" t="s">
        <v>21</v>
      </c>
      <c r="F4" s="1" t="s">
        <v>22</v>
      </c>
      <c r="G4" s="1" t="s">
        <v>22</v>
      </c>
      <c r="H4" s="1" t="s">
        <v>22</v>
      </c>
      <c r="I4" s="1" t="s">
        <v>26</v>
      </c>
      <c r="J4" s="3" t="s">
        <v>27</v>
      </c>
      <c r="K4" s="1" t="s">
        <v>28</v>
      </c>
      <c r="L4" s="1">
        <v>8278.0</v>
      </c>
      <c r="M4" s="1">
        <v>420.0</v>
      </c>
      <c r="N4" s="1">
        <v>5.0</v>
      </c>
      <c r="O4" s="1">
        <v>8.0</v>
      </c>
      <c r="P4" s="1">
        <f t="shared" si="1"/>
        <v>433</v>
      </c>
      <c r="Q4" s="1">
        <v>5.23</v>
      </c>
      <c r="R4" s="1">
        <v>0.0</v>
      </c>
    </row>
    <row r="5">
      <c r="A5" s="1" t="s">
        <v>18</v>
      </c>
      <c r="B5" s="1" t="s">
        <v>19</v>
      </c>
      <c r="C5" s="2">
        <v>45157.41672453703</v>
      </c>
      <c r="D5" s="1" t="s">
        <v>29</v>
      </c>
      <c r="E5" s="1" t="s">
        <v>21</v>
      </c>
      <c r="F5" s="1" t="s">
        <v>22</v>
      </c>
      <c r="G5" s="1" t="s">
        <v>22</v>
      </c>
      <c r="H5" s="1" t="s">
        <v>22</v>
      </c>
      <c r="I5" s="1" t="s">
        <v>30</v>
      </c>
      <c r="J5" s="3" t="s">
        <v>31</v>
      </c>
      <c r="K5" s="1" t="s">
        <v>32</v>
      </c>
      <c r="L5" s="1">
        <v>8126.0</v>
      </c>
      <c r="M5" s="1">
        <v>394.0</v>
      </c>
      <c r="N5" s="1">
        <v>0.0</v>
      </c>
      <c r="O5" s="1">
        <v>9.0</v>
      </c>
      <c r="P5" s="1">
        <f t="shared" si="1"/>
        <v>403</v>
      </c>
      <c r="Q5" s="1">
        <v>4.96</v>
      </c>
      <c r="R5" s="1" t="s">
        <v>33</v>
      </c>
    </row>
    <row r="6">
      <c r="A6" s="1" t="s">
        <v>18</v>
      </c>
      <c r="B6" s="1" t="s">
        <v>19</v>
      </c>
      <c r="C6" s="2">
        <v>45156.869375</v>
      </c>
      <c r="D6" s="1" t="s">
        <v>20</v>
      </c>
      <c r="E6" s="1" t="s">
        <v>21</v>
      </c>
      <c r="F6" s="1" t="s">
        <v>22</v>
      </c>
      <c r="G6" s="1" t="s">
        <v>22</v>
      </c>
      <c r="H6" s="1" t="s">
        <v>22</v>
      </c>
      <c r="I6" s="1" t="s">
        <v>34</v>
      </c>
      <c r="J6" s="3" t="s">
        <v>35</v>
      </c>
      <c r="K6" s="1" t="s">
        <v>36</v>
      </c>
      <c r="L6" s="1">
        <v>10560.0</v>
      </c>
      <c r="M6" s="1">
        <v>632.0</v>
      </c>
      <c r="N6" s="1">
        <v>9.0</v>
      </c>
      <c r="O6" s="1">
        <v>23.0</v>
      </c>
      <c r="P6" s="1">
        <f t="shared" si="1"/>
        <v>664</v>
      </c>
      <c r="Q6" s="1">
        <v>6.29</v>
      </c>
      <c r="R6" s="1">
        <v>0.0</v>
      </c>
    </row>
    <row r="7">
      <c r="A7" s="1" t="s">
        <v>18</v>
      </c>
      <c r="B7" s="1" t="s">
        <v>19</v>
      </c>
      <c r="C7" s="2">
        <v>45156.845405092594</v>
      </c>
      <c r="D7" s="1" t="s">
        <v>20</v>
      </c>
      <c r="E7" s="1" t="s">
        <v>21</v>
      </c>
      <c r="F7" s="1" t="s">
        <v>22</v>
      </c>
      <c r="G7" s="1" t="s">
        <v>22</v>
      </c>
      <c r="H7" s="1" t="s">
        <v>22</v>
      </c>
      <c r="I7" s="1" t="s">
        <v>37</v>
      </c>
      <c r="J7" s="3" t="s">
        <v>38</v>
      </c>
      <c r="K7" s="1" t="s">
        <v>39</v>
      </c>
      <c r="L7" s="1">
        <v>8960.0</v>
      </c>
      <c r="M7" s="1">
        <v>426.0</v>
      </c>
      <c r="N7" s="1">
        <v>4.0</v>
      </c>
      <c r="O7" s="1">
        <v>7.0</v>
      </c>
      <c r="P7" s="1">
        <f t="shared" si="1"/>
        <v>437</v>
      </c>
      <c r="Q7" s="1">
        <v>4.88</v>
      </c>
      <c r="R7" s="1">
        <v>0.0</v>
      </c>
    </row>
    <row r="8">
      <c r="A8" s="1" t="s">
        <v>18</v>
      </c>
      <c r="B8" s="1" t="s">
        <v>19</v>
      </c>
      <c r="C8" s="2">
        <v>45154.65875</v>
      </c>
      <c r="D8" s="1" t="s">
        <v>20</v>
      </c>
      <c r="E8" s="1" t="s">
        <v>21</v>
      </c>
      <c r="F8" s="1" t="s">
        <v>22</v>
      </c>
      <c r="G8" s="1" t="s">
        <v>22</v>
      </c>
      <c r="H8" s="1" t="s">
        <v>22</v>
      </c>
      <c r="I8" s="1" t="s">
        <v>40</v>
      </c>
      <c r="J8" s="3" t="s">
        <v>41</v>
      </c>
      <c r="K8" s="1" t="s">
        <v>42</v>
      </c>
      <c r="L8" s="1">
        <v>7599.0</v>
      </c>
      <c r="M8" s="1">
        <v>475.0</v>
      </c>
      <c r="N8" s="1">
        <v>5.0</v>
      </c>
      <c r="O8" s="1">
        <v>20.0</v>
      </c>
      <c r="P8" s="1">
        <f t="shared" si="1"/>
        <v>500</v>
      </c>
      <c r="Q8" s="1">
        <v>6.58</v>
      </c>
      <c r="R8" s="1">
        <v>0.0</v>
      </c>
    </row>
    <row r="9">
      <c r="A9" s="1" t="s">
        <v>18</v>
      </c>
      <c r="B9" s="1" t="s">
        <v>19</v>
      </c>
      <c r="C9" s="2">
        <v>45153.81768518518</v>
      </c>
      <c r="D9" s="1" t="s">
        <v>20</v>
      </c>
      <c r="E9" s="1" t="s">
        <v>21</v>
      </c>
      <c r="F9" s="1" t="s">
        <v>22</v>
      </c>
      <c r="G9" s="1" t="s">
        <v>22</v>
      </c>
      <c r="H9" s="1" t="s">
        <v>22</v>
      </c>
      <c r="I9" s="1" t="s">
        <v>43</v>
      </c>
      <c r="J9" s="3" t="s">
        <v>44</v>
      </c>
      <c r="K9" s="1" t="s">
        <v>45</v>
      </c>
      <c r="L9" s="1">
        <v>22139.0</v>
      </c>
      <c r="M9" s="1">
        <v>919.0</v>
      </c>
      <c r="N9" s="1">
        <v>10.0</v>
      </c>
      <c r="O9" s="1">
        <v>13.0</v>
      </c>
      <c r="P9" s="1">
        <f t="shared" si="1"/>
        <v>942</v>
      </c>
      <c r="Q9" s="1">
        <v>4.25</v>
      </c>
      <c r="R9" s="1">
        <v>0.0</v>
      </c>
    </row>
    <row r="10">
      <c r="A10" s="1" t="s">
        <v>18</v>
      </c>
      <c r="B10" s="1" t="s">
        <v>19</v>
      </c>
      <c r="C10" s="2">
        <v>45153.586180555554</v>
      </c>
      <c r="D10" s="1" t="s">
        <v>20</v>
      </c>
      <c r="E10" s="1" t="s">
        <v>21</v>
      </c>
      <c r="F10" s="1" t="s">
        <v>22</v>
      </c>
      <c r="G10" s="1" t="s">
        <v>22</v>
      </c>
      <c r="H10" s="1" t="s">
        <v>22</v>
      </c>
      <c r="I10" s="1" t="s">
        <v>46</v>
      </c>
      <c r="J10" s="3" t="s">
        <v>47</v>
      </c>
      <c r="K10" s="1" t="s">
        <v>48</v>
      </c>
      <c r="L10" s="1">
        <v>10496.0</v>
      </c>
      <c r="M10" s="1">
        <v>648.0</v>
      </c>
      <c r="N10" s="1">
        <v>8.0</v>
      </c>
      <c r="O10" s="1">
        <v>40.0</v>
      </c>
      <c r="P10" s="1">
        <f t="shared" si="1"/>
        <v>696</v>
      </c>
      <c r="Q10" s="1">
        <v>6.63</v>
      </c>
      <c r="R10" s="1">
        <v>0.0</v>
      </c>
    </row>
    <row r="11">
      <c r="A11" s="1" t="s">
        <v>18</v>
      </c>
      <c r="B11" s="1" t="s">
        <v>19</v>
      </c>
      <c r="C11" s="2">
        <v>45151.619780092595</v>
      </c>
      <c r="D11" s="1" t="s">
        <v>20</v>
      </c>
      <c r="E11" s="1" t="s">
        <v>21</v>
      </c>
      <c r="F11" s="1" t="s">
        <v>22</v>
      </c>
      <c r="G11" s="1" t="s">
        <v>22</v>
      </c>
      <c r="H11" s="1" t="s">
        <v>22</v>
      </c>
      <c r="I11" s="1" t="s">
        <v>49</v>
      </c>
      <c r="J11" s="3" t="s">
        <v>50</v>
      </c>
      <c r="K11" s="1" t="s">
        <v>51</v>
      </c>
      <c r="L11" s="1">
        <v>9100.0</v>
      </c>
      <c r="M11" s="1">
        <v>582.0</v>
      </c>
      <c r="N11" s="1">
        <v>2.0</v>
      </c>
      <c r="O11" s="1">
        <v>34.0</v>
      </c>
      <c r="P11" s="1">
        <f t="shared" si="1"/>
        <v>618</v>
      </c>
      <c r="Q11" s="1">
        <v>6.79</v>
      </c>
      <c r="R11" s="1">
        <v>0.0</v>
      </c>
    </row>
    <row r="12">
      <c r="A12" s="1" t="s">
        <v>18</v>
      </c>
      <c r="B12" s="1" t="s">
        <v>19</v>
      </c>
      <c r="C12" s="2">
        <v>45149.67752314815</v>
      </c>
      <c r="D12" s="1" t="s">
        <v>20</v>
      </c>
      <c r="E12" s="1" t="s">
        <v>21</v>
      </c>
      <c r="F12" s="1" t="s">
        <v>22</v>
      </c>
      <c r="G12" s="1" t="s">
        <v>22</v>
      </c>
      <c r="H12" s="1" t="s">
        <v>22</v>
      </c>
      <c r="I12" s="1" t="s">
        <v>52</v>
      </c>
      <c r="J12" s="3" t="s">
        <v>53</v>
      </c>
      <c r="K12" s="1" t="s">
        <v>54</v>
      </c>
      <c r="L12" s="1">
        <v>21915.0</v>
      </c>
      <c r="M12" s="1">
        <v>1356.0</v>
      </c>
      <c r="N12" s="1">
        <v>5.0</v>
      </c>
      <c r="O12" s="1">
        <v>47.0</v>
      </c>
      <c r="P12" s="1">
        <f t="shared" si="1"/>
        <v>1408</v>
      </c>
      <c r="Q12" s="1">
        <v>6.42</v>
      </c>
      <c r="R12" s="1">
        <v>0.0</v>
      </c>
    </row>
    <row r="13">
      <c r="A13" s="1" t="s">
        <v>18</v>
      </c>
      <c r="B13" s="1" t="s">
        <v>19</v>
      </c>
      <c r="C13" s="2">
        <v>45148.89770833333</v>
      </c>
      <c r="D13" s="1" t="s">
        <v>20</v>
      </c>
      <c r="E13" s="1" t="s">
        <v>21</v>
      </c>
      <c r="F13" s="1" t="s">
        <v>22</v>
      </c>
      <c r="G13" s="1" t="s">
        <v>22</v>
      </c>
      <c r="H13" s="1" t="s">
        <v>22</v>
      </c>
      <c r="I13" s="1" t="s">
        <v>55</v>
      </c>
      <c r="J13" s="3" t="s">
        <v>56</v>
      </c>
      <c r="K13" s="1" t="s">
        <v>57</v>
      </c>
      <c r="L13" s="1">
        <v>12197.0</v>
      </c>
      <c r="M13" s="1">
        <v>852.0</v>
      </c>
      <c r="N13" s="1">
        <v>0.0</v>
      </c>
      <c r="O13" s="1">
        <v>14.0</v>
      </c>
      <c r="P13" s="1">
        <f t="shared" si="1"/>
        <v>866</v>
      </c>
      <c r="Q13" s="1">
        <v>7.1</v>
      </c>
      <c r="R13" s="1">
        <v>0.0</v>
      </c>
    </row>
    <row r="14">
      <c r="A14" s="1" t="s">
        <v>18</v>
      </c>
      <c r="B14" s="1" t="s">
        <v>19</v>
      </c>
      <c r="C14" s="2">
        <v>45148.451145833336</v>
      </c>
      <c r="D14" s="1" t="s">
        <v>20</v>
      </c>
      <c r="E14" s="1" t="s">
        <v>21</v>
      </c>
      <c r="F14" s="1" t="s">
        <v>22</v>
      </c>
      <c r="G14" s="1" t="s">
        <v>22</v>
      </c>
      <c r="H14" s="1" t="s">
        <v>22</v>
      </c>
      <c r="I14" s="1" t="s">
        <v>58</v>
      </c>
      <c r="J14" s="3" t="s">
        <v>59</v>
      </c>
      <c r="K14" s="1" t="s">
        <v>60</v>
      </c>
      <c r="L14" s="1">
        <v>5171.0</v>
      </c>
      <c r="M14" s="1">
        <v>241.0</v>
      </c>
      <c r="N14" s="1">
        <v>0.0</v>
      </c>
      <c r="O14" s="1">
        <v>11.0</v>
      </c>
      <c r="P14" s="1">
        <f t="shared" si="1"/>
        <v>252</v>
      </c>
      <c r="Q14" s="1">
        <v>4.87</v>
      </c>
      <c r="R14" s="1">
        <v>0.0</v>
      </c>
    </row>
    <row r="15">
      <c r="A15" s="1" t="s">
        <v>18</v>
      </c>
      <c r="B15" s="1" t="s">
        <v>19</v>
      </c>
      <c r="C15" s="2">
        <v>45147.59386574074</v>
      </c>
      <c r="D15" s="1" t="s">
        <v>20</v>
      </c>
      <c r="E15" s="1" t="s">
        <v>21</v>
      </c>
      <c r="F15" s="1" t="s">
        <v>22</v>
      </c>
      <c r="G15" s="1" t="s">
        <v>22</v>
      </c>
      <c r="H15" s="1" t="s">
        <v>22</v>
      </c>
      <c r="I15" s="1" t="s">
        <v>61</v>
      </c>
      <c r="J15" s="3" t="s">
        <v>62</v>
      </c>
      <c r="K15" s="1" t="s">
        <v>63</v>
      </c>
      <c r="L15" s="1">
        <v>11325.0</v>
      </c>
      <c r="M15" s="1">
        <v>582.0</v>
      </c>
      <c r="N15" s="1">
        <v>1.0</v>
      </c>
      <c r="O15" s="1">
        <v>11.0</v>
      </c>
      <c r="P15" s="1">
        <f t="shared" si="1"/>
        <v>594</v>
      </c>
      <c r="Q15" s="1">
        <v>5.25</v>
      </c>
      <c r="R15" s="1">
        <v>0.0</v>
      </c>
    </row>
    <row r="16">
      <c r="A16" s="1" t="s">
        <v>18</v>
      </c>
      <c r="B16" s="1" t="s">
        <v>19</v>
      </c>
      <c r="C16" s="2">
        <v>45141.753645833334</v>
      </c>
      <c r="D16" s="1" t="s">
        <v>20</v>
      </c>
      <c r="E16" s="1" t="s">
        <v>21</v>
      </c>
      <c r="F16" s="1" t="s">
        <v>22</v>
      </c>
      <c r="G16" s="1" t="s">
        <v>22</v>
      </c>
      <c r="H16" s="1" t="s">
        <v>22</v>
      </c>
      <c r="I16" s="1" t="s">
        <v>64</v>
      </c>
      <c r="J16" s="3" t="s">
        <v>65</v>
      </c>
      <c r="K16" s="1" t="s">
        <v>66</v>
      </c>
      <c r="L16" s="1">
        <v>5345.0</v>
      </c>
      <c r="M16" s="1">
        <v>342.0</v>
      </c>
      <c r="N16" s="1">
        <v>1.0</v>
      </c>
      <c r="O16" s="1">
        <v>10.0</v>
      </c>
      <c r="P16" s="1">
        <f t="shared" si="1"/>
        <v>353</v>
      </c>
      <c r="Q16" s="1">
        <v>6.6</v>
      </c>
      <c r="R16" s="1">
        <v>0.0</v>
      </c>
    </row>
    <row r="17">
      <c r="L17" s="4">
        <v>8635.0</v>
      </c>
      <c r="P17" s="5">
        <v>192.0</v>
      </c>
      <c r="Q17" s="6">
        <v>2.22</v>
      </c>
    </row>
    <row r="18">
      <c r="L18" s="4">
        <v>7362.0</v>
      </c>
      <c r="P18" s="5">
        <v>284.0</v>
      </c>
      <c r="Q18" s="6">
        <v>3.86</v>
      </c>
    </row>
    <row r="19">
      <c r="L19" s="4">
        <v>7020.0</v>
      </c>
      <c r="P19" s="5">
        <v>258.0</v>
      </c>
      <c r="Q19" s="6">
        <v>3.68</v>
      </c>
    </row>
    <row r="20">
      <c r="L20" s="4">
        <v>5876.0</v>
      </c>
      <c r="P20" s="5">
        <v>258.0</v>
      </c>
      <c r="Q20" s="6">
        <v>4.39</v>
      </c>
    </row>
    <row r="21">
      <c r="L21" s="4">
        <v>16082.0</v>
      </c>
      <c r="P21" s="5">
        <v>594.0</v>
      </c>
      <c r="Q21" s="6">
        <v>3.69</v>
      </c>
    </row>
    <row r="22">
      <c r="L22" s="4">
        <v>5281.0</v>
      </c>
      <c r="P22" s="5">
        <v>200.0</v>
      </c>
      <c r="Q22" s="6">
        <v>3.79</v>
      </c>
    </row>
    <row r="23">
      <c r="L23" s="4">
        <v>5211.0</v>
      </c>
      <c r="P23" s="5">
        <v>249.0</v>
      </c>
      <c r="Q23" s="6">
        <v>4.78</v>
      </c>
    </row>
    <row r="24">
      <c r="L24" s="4">
        <v>5962.0</v>
      </c>
      <c r="P24" s="5">
        <v>242.0</v>
      </c>
      <c r="Q24" s="6">
        <v>4.06</v>
      </c>
    </row>
    <row r="25">
      <c r="L25" s="4">
        <v>6276.0</v>
      </c>
      <c r="P25" s="5">
        <v>186.0</v>
      </c>
      <c r="Q25" s="6">
        <v>2.96</v>
      </c>
    </row>
    <row r="26">
      <c r="L26" s="4">
        <v>5722.0</v>
      </c>
      <c r="P26" s="5">
        <v>172.0</v>
      </c>
      <c r="Q26" s="6">
        <v>3.01</v>
      </c>
    </row>
    <row r="27">
      <c r="L27" s="4">
        <v>7414.0</v>
      </c>
      <c r="P27" s="4">
        <v>371.0</v>
      </c>
      <c r="Q27" s="4">
        <v>5.0</v>
      </c>
    </row>
    <row r="28">
      <c r="L28" s="4">
        <v>6337.0</v>
      </c>
      <c r="P28" s="5">
        <v>186.0</v>
      </c>
      <c r="Q28" s="6">
        <v>2.94</v>
      </c>
    </row>
    <row r="29">
      <c r="L29" s="4">
        <v>8548.0</v>
      </c>
      <c r="P29" s="5">
        <v>296.0</v>
      </c>
      <c r="Q29" s="6">
        <v>3.46</v>
      </c>
    </row>
    <row r="30">
      <c r="L30" s="4">
        <v>5864.0</v>
      </c>
      <c r="P30" s="5">
        <v>171.0</v>
      </c>
      <c r="Q30" s="6">
        <v>2.92</v>
      </c>
    </row>
    <row r="31">
      <c r="L31" s="4">
        <v>8457.0</v>
      </c>
      <c r="P31" s="5">
        <v>352.0</v>
      </c>
      <c r="Q31" s="6">
        <v>4.16</v>
      </c>
    </row>
    <row r="32">
      <c r="L32" s="4">
        <v>10149.0</v>
      </c>
      <c r="P32" s="5">
        <v>449.0</v>
      </c>
      <c r="Q32" s="6">
        <v>4.42</v>
      </c>
    </row>
    <row r="33">
      <c r="L33" s="4">
        <v>7844.0</v>
      </c>
      <c r="P33" s="5">
        <v>321.0</v>
      </c>
      <c r="Q33" s="6">
        <v>4.09</v>
      </c>
    </row>
    <row r="34">
      <c r="L34" s="4">
        <v>17760.0</v>
      </c>
      <c r="P34" s="5">
        <v>632.0</v>
      </c>
      <c r="Q34" s="6">
        <v>3.56</v>
      </c>
    </row>
    <row r="35">
      <c r="L35" s="4">
        <v>7823.0</v>
      </c>
      <c r="P35" s="5">
        <v>437.0</v>
      </c>
      <c r="Q35" s="6">
        <v>5.59</v>
      </c>
    </row>
    <row r="36">
      <c r="L36" s="4">
        <v>8835.0</v>
      </c>
      <c r="P36" s="5">
        <v>276.0</v>
      </c>
      <c r="Q36" s="6">
        <v>3.12</v>
      </c>
    </row>
    <row r="37">
      <c r="L37" s="4">
        <v>24261.0</v>
      </c>
      <c r="P37" s="5">
        <v>703.0</v>
      </c>
      <c r="Q37" s="6">
        <v>2.9</v>
      </c>
    </row>
    <row r="38">
      <c r="L38" s="4">
        <v>6083.0</v>
      </c>
      <c r="P38" s="5">
        <v>290.0</v>
      </c>
      <c r="Q38" s="6">
        <v>4.77</v>
      </c>
    </row>
    <row r="39">
      <c r="L39" s="4">
        <v>6789.0</v>
      </c>
      <c r="P39" s="5">
        <v>295.0</v>
      </c>
      <c r="Q39" s="6">
        <v>4.35</v>
      </c>
    </row>
    <row r="40">
      <c r="L40" s="4">
        <v>8394.0</v>
      </c>
      <c r="P40" s="5">
        <v>483.0</v>
      </c>
      <c r="Q40" s="6">
        <v>5.75</v>
      </c>
    </row>
    <row r="41">
      <c r="L41" s="4">
        <v>5876.0</v>
      </c>
      <c r="P41" s="5">
        <v>284.0</v>
      </c>
      <c r="Q41" s="6">
        <v>4.83</v>
      </c>
    </row>
    <row r="42">
      <c r="L42" s="4">
        <v>7064.0</v>
      </c>
      <c r="P42" s="5">
        <v>283.0</v>
      </c>
      <c r="Q42" s="6">
        <v>4.01</v>
      </c>
    </row>
    <row r="43">
      <c r="L43" s="4">
        <v>8481.0</v>
      </c>
      <c r="P43" s="5">
        <v>312.0</v>
      </c>
      <c r="Q43" s="6">
        <v>3.68</v>
      </c>
    </row>
    <row r="44">
      <c r="L44" s="7">
        <f>AVERAGE(L3:L43)</f>
        <v>9190.634146</v>
      </c>
      <c r="P44" s="8">
        <f>SUM(P3:P43)</f>
        <v>17398</v>
      </c>
      <c r="Q44" s="9">
        <f>AVERAGE(Q2:Q43)</f>
        <v>4.614634146</v>
      </c>
    </row>
    <row r="45">
      <c r="L45" s="4">
        <f>SUM(L3:L43)</f>
        <v>376816</v>
      </c>
    </row>
    <row r="46">
      <c r="L46" s="7"/>
    </row>
    <row r="47">
      <c r="L47" s="4"/>
    </row>
    <row r="48">
      <c r="L48" s="4"/>
    </row>
    <row r="49">
      <c r="L49" s="4"/>
    </row>
    <row r="50">
      <c r="L50" s="4"/>
    </row>
    <row r="51">
      <c r="L51" s="4"/>
    </row>
    <row r="52">
      <c r="L52" s="4"/>
    </row>
    <row r="53">
      <c r="L53" s="4"/>
    </row>
    <row r="54">
      <c r="L54" s="4"/>
    </row>
    <row r="55">
      <c r="L55" s="4"/>
    </row>
    <row r="56">
      <c r="L56" s="4"/>
    </row>
    <row r="57">
      <c r="L57" s="4"/>
    </row>
    <row r="58">
      <c r="L58" s="4"/>
    </row>
    <row r="59">
      <c r="L59" s="4"/>
    </row>
    <row r="60">
      <c r="L60" s="4"/>
    </row>
    <row r="61">
      <c r="L61" s="4"/>
    </row>
    <row r="62">
      <c r="L62" s="4"/>
    </row>
    <row r="63">
      <c r="L63" s="4"/>
    </row>
    <row r="64">
      <c r="L64" s="4"/>
    </row>
    <row r="65">
      <c r="L65" s="4"/>
    </row>
    <row r="66">
      <c r="L66" s="4"/>
    </row>
    <row r="67">
      <c r="L67" s="4"/>
    </row>
    <row r="68">
      <c r="L68" s="4"/>
    </row>
    <row r="69">
      <c r="L69" s="4"/>
    </row>
    <row r="70">
      <c r="L70" s="4"/>
    </row>
    <row r="71">
      <c r="L71" s="4"/>
    </row>
    <row r="72">
      <c r="L72" s="4"/>
    </row>
    <row r="73">
      <c r="L73" s="8"/>
    </row>
  </sheetData>
  <hyperlinks>
    <hyperlink r:id="rId1" ref="J3"/>
    <hyperlink r:id="rId2" ref="J4"/>
    <hyperlink r:id="rId3" ref="J5"/>
    <hyperlink r:id="rId4" ref="J6"/>
    <hyperlink r:id="rId5" ref="J7"/>
    <hyperlink r:id="rId6" ref="J8"/>
    <hyperlink r:id="rId7" ref="J9"/>
    <hyperlink r:id="rId8" ref="J10"/>
    <hyperlink r:id="rId9" ref="J11"/>
    <hyperlink r:id="rId10" ref="J12"/>
    <hyperlink r:id="rId11" ref="J13"/>
    <hyperlink r:id="rId12" ref="J14"/>
    <hyperlink r:id="rId13" ref="J15"/>
    <hyperlink r:id="rId14" ref="J16"/>
  </hyperlinks>
  <drawing r:id="rId15"/>
</worksheet>
</file>