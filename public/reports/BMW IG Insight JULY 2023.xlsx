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Content performance" sheetId="1" r:id="rId4"/>
  </sheets>
  <definedNames/>
  <calcPr/>
</workbook>
</file>

<file path=xl/sharedStrings.xml><?xml version="1.0" encoding="utf-8"?>
<sst xmlns="http://schemas.openxmlformats.org/spreadsheetml/2006/main" count="94" uniqueCount="47">
  <si>
    <t>sep=</t>
  </si>
  <si>
    <t>Network</t>
  </si>
  <si>
    <t>Page Name</t>
  </si>
  <si>
    <t>Published time (Asia/Jakarta)</t>
  </si>
  <si>
    <t>Post Type</t>
  </si>
  <si>
    <t>Placement</t>
  </si>
  <si>
    <t>Dark</t>
  </si>
  <si>
    <t>Promoted</t>
  </si>
  <si>
    <t>Reshare</t>
  </si>
  <si>
    <t>Post text</t>
  </si>
  <si>
    <t>Post URL</t>
  </si>
  <si>
    <t>Post ID</t>
  </si>
  <si>
    <t>Reach avg.</t>
  </si>
  <si>
    <t>Likes</t>
  </si>
  <si>
    <t>Comments</t>
  </si>
  <si>
    <t>Saves</t>
  </si>
  <si>
    <t>Engagement</t>
  </si>
  <si>
    <t>Engagement rate (reach)</t>
  </si>
  <si>
    <t>Video views</t>
  </si>
  <si>
    <t>INSTAGRAM</t>
  </si>
  <si>
    <t>BMW Indonesia</t>
  </si>
  <si>
    <t>CAROUSEL</t>
  </si>
  <si>
    <t>Timeline</t>
  </si>
  <si>
    <t>No</t>
  </si>
  <si>
    <t>Today, BMW Indonesia is proud to introduce THE NEW X1.   In its third-generation model, the latest BMW X1 showcases outstanding design, spacious cabin, and advanced digital features, all to provide you with a BIGGER, BOLDER, and BETTER driving experience.  Be among the first to explore this compact SAV exclusively at The BMW Pavilion-GIIAS from 10-20 August 2023.  #OwnYourDream #TheNewX1</t>
  </si>
  <si>
    <t>https://www.instagram.com/p/CvPjOQ-vSBt/</t>
  </si>
  <si>
    <t>18008893417713574</t>
  </si>
  <si>
    <t>IMAGE</t>
  </si>
  <si>
    <t>Conquer the farthest roads, become more, and seize your fearless journey to explore everyday adventures with practicality and style.  See THE NEW X1 for yourself at The BMW Pavilion-GIIAS, 10-20 August 2023.  #OwnYourDream</t>
  </si>
  <si>
    <t>https://www.instagram.com/p/CvPMMfrvNGS/</t>
  </si>
  <si>
    <t>18009403540700081</t>
  </si>
  <si>
    <t>-</t>
  </si>
  <si>
    <t>Come forward, be brave, and take on the adventurous dreams that await you every day with The Xcellent ONE.   #OwnYourDream</t>
  </si>
  <si>
    <t>https://www.instagram.com/p/CvE_mr6yd-e/</t>
  </si>
  <si>
    <t>18093375175347728</t>
  </si>
  <si>
    <t>More space for more adventures.  #OwnYourDream</t>
  </si>
  <si>
    <t>https://www.instagram.com/p/Cu9PqMoBj56/</t>
  </si>
  <si>
    <t>17927418632725297</t>
  </si>
  <si>
    <t>A fierce presence that asserts your adventurous spirits.  #OwnYourDream</t>
  </si>
  <si>
    <t>https://www.instagram.com/p/Cu9B7knvvmw/</t>
  </si>
  <si>
    <t>17925985895729550</t>
  </si>
  <si>
    <t>Upgraded for digital convenience at your fingertips.  #OwnYourDream</t>
  </si>
  <si>
    <t>https://www.instagram.com/p/Cu801LFSnnB/</t>
  </si>
  <si>
    <t>18030733861533733</t>
  </si>
  <si>
    <t>From the FSC-certified wood used for the center console to the innovative use of Econyl, crafted from recycled fishing nets for the floor coverings and mats, every detail reflects a commitment to sustainability.   Even the interior design is made from SensaTec, a leather-free material that enhances the eco-friendly appeal.   Learn more about THE iX at bmw.co.id or get in touch with your nearest BMW Authorized Dealer.</t>
  </si>
  <si>
    <t>https://www.instagram.com/p/Cu1iELyPYoW/</t>
  </si>
  <si>
    <t>17978482301514476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</si>
</sst>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1" numFmtId="1" xfId="0" applyFont="1" applyNumberFormat="1"/>
    <xf borderId="0" fillId="0" fontId="1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CvPjOQ-vSBt/" TargetMode="External"/><Relationship Id="rId2" Type="http://schemas.openxmlformats.org/officeDocument/2006/relationships/hyperlink" Target="https://www.instagram.com/p/CvPMMfrvNGS/" TargetMode="External"/><Relationship Id="rId3" Type="http://schemas.openxmlformats.org/officeDocument/2006/relationships/hyperlink" Target="https://www.instagram.com/p/CvE_mr6yd-e/" TargetMode="External"/><Relationship Id="rId4" Type="http://schemas.openxmlformats.org/officeDocument/2006/relationships/hyperlink" Target="https://www.instagram.com/p/Cu9PqMoBj56/" TargetMode="External"/><Relationship Id="rId5" Type="http://schemas.openxmlformats.org/officeDocument/2006/relationships/hyperlink" Target="https://www.instagram.com/p/Cu9B7knvvmw/" TargetMode="External"/><Relationship Id="rId6" Type="http://schemas.openxmlformats.org/officeDocument/2006/relationships/hyperlink" Target="https://www.instagram.com/p/Cu801LFSnnB/" TargetMode="External"/><Relationship Id="rId7" Type="http://schemas.openxmlformats.org/officeDocument/2006/relationships/hyperlink" Target="https://www.instagram.com/p/Cu1iELyPYoW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>
      <c r="A3" s="1" t="s">
        <v>19</v>
      </c>
      <c r="B3" s="1" t="s">
        <v>20</v>
      </c>
      <c r="C3" s="2">
        <v>45135.859293981484</v>
      </c>
      <c r="D3" s="1" t="s">
        <v>21</v>
      </c>
      <c r="E3" s="1" t="s">
        <v>22</v>
      </c>
      <c r="F3" s="1" t="s">
        <v>23</v>
      </c>
      <c r="G3" s="1" t="s">
        <v>23</v>
      </c>
      <c r="H3" s="1" t="s">
        <v>23</v>
      </c>
      <c r="I3" s="1" t="s">
        <v>24</v>
      </c>
      <c r="J3" s="3" t="s">
        <v>25</v>
      </c>
      <c r="K3" s="1" t="s">
        <v>26</v>
      </c>
      <c r="L3" s="1">
        <v>23865.0</v>
      </c>
      <c r="M3" s="1">
        <v>1509.0</v>
      </c>
      <c r="N3" s="1">
        <v>15.0</v>
      </c>
      <c r="O3" s="1">
        <v>39.0</v>
      </c>
      <c r="P3" s="1">
        <f t="shared" ref="P3:P9" si="1">sum(M3:O3)</f>
        <v>1563</v>
      </c>
      <c r="Q3" s="1">
        <v>6.55</v>
      </c>
      <c r="R3" s="1">
        <v>0.0</v>
      </c>
    </row>
    <row r="4">
      <c r="A4" s="1" t="s">
        <v>19</v>
      </c>
      <c r="B4" s="1" t="s">
        <v>20</v>
      </c>
      <c r="C4" s="2">
        <v>45135.719560185185</v>
      </c>
      <c r="D4" s="1" t="s">
        <v>27</v>
      </c>
      <c r="E4" s="1" t="s">
        <v>22</v>
      </c>
      <c r="F4" s="1" t="s">
        <v>23</v>
      </c>
      <c r="G4" s="1" t="s">
        <v>23</v>
      </c>
      <c r="H4" s="1" t="s">
        <v>23</v>
      </c>
      <c r="I4" s="1" t="s">
        <v>28</v>
      </c>
      <c r="J4" s="3" t="s">
        <v>29</v>
      </c>
      <c r="K4" s="1" t="s">
        <v>30</v>
      </c>
      <c r="L4" s="1">
        <v>8488.0</v>
      </c>
      <c r="M4" s="1">
        <v>330.0</v>
      </c>
      <c r="N4" s="1">
        <v>10.0</v>
      </c>
      <c r="O4" s="1">
        <v>5.0</v>
      </c>
      <c r="P4" s="1">
        <f t="shared" si="1"/>
        <v>345</v>
      </c>
      <c r="Q4" s="1">
        <v>4.06</v>
      </c>
      <c r="R4" s="1" t="s">
        <v>31</v>
      </c>
    </row>
    <row r="5">
      <c r="A5" s="1" t="s">
        <v>19</v>
      </c>
      <c r="B5" s="1" t="s">
        <v>20</v>
      </c>
      <c r="C5" s="2">
        <v>45131.75954861111</v>
      </c>
      <c r="D5" s="1" t="s">
        <v>27</v>
      </c>
      <c r="E5" s="1" t="s">
        <v>22</v>
      </c>
      <c r="F5" s="1" t="s">
        <v>23</v>
      </c>
      <c r="G5" s="1" t="s">
        <v>23</v>
      </c>
      <c r="H5" s="1" t="s">
        <v>23</v>
      </c>
      <c r="I5" s="1" t="s">
        <v>32</v>
      </c>
      <c r="J5" s="3" t="s">
        <v>33</v>
      </c>
      <c r="K5" s="1" t="s">
        <v>34</v>
      </c>
      <c r="L5" s="1">
        <v>11858.0</v>
      </c>
      <c r="M5" s="1">
        <v>499.0</v>
      </c>
      <c r="N5" s="1">
        <v>15.0</v>
      </c>
      <c r="O5" s="1">
        <v>5.0</v>
      </c>
      <c r="P5" s="1">
        <f t="shared" si="1"/>
        <v>519</v>
      </c>
      <c r="Q5" s="1">
        <v>4.38</v>
      </c>
      <c r="R5" s="1" t="s">
        <v>31</v>
      </c>
    </row>
    <row r="6">
      <c r="A6" s="1" t="s">
        <v>19</v>
      </c>
      <c r="B6" s="1" t="s">
        <v>20</v>
      </c>
      <c r="C6" s="2">
        <v>45128.750081018516</v>
      </c>
      <c r="D6" s="1" t="s">
        <v>27</v>
      </c>
      <c r="E6" s="1" t="s">
        <v>22</v>
      </c>
      <c r="F6" s="1" t="s">
        <v>23</v>
      </c>
      <c r="G6" s="1" t="s">
        <v>23</v>
      </c>
      <c r="H6" s="1" t="s">
        <v>23</v>
      </c>
      <c r="I6" s="1" t="s">
        <v>35</v>
      </c>
      <c r="J6" s="3" t="s">
        <v>36</v>
      </c>
      <c r="K6" s="1" t="s">
        <v>37</v>
      </c>
      <c r="L6" s="1">
        <v>13819.0</v>
      </c>
      <c r="M6" s="1">
        <v>566.0</v>
      </c>
      <c r="N6" s="1">
        <v>20.0</v>
      </c>
      <c r="O6" s="1">
        <v>9.0</v>
      </c>
      <c r="P6" s="1">
        <f t="shared" si="1"/>
        <v>595</v>
      </c>
      <c r="Q6" s="1">
        <v>4.31</v>
      </c>
      <c r="R6" s="1" t="s">
        <v>31</v>
      </c>
    </row>
    <row r="7">
      <c r="A7" s="1" t="s">
        <v>19</v>
      </c>
      <c r="B7" s="1" t="s">
        <v>20</v>
      </c>
      <c r="C7" s="2">
        <v>45128.66677083333</v>
      </c>
      <c r="D7" s="1" t="s">
        <v>27</v>
      </c>
      <c r="E7" s="1" t="s">
        <v>22</v>
      </c>
      <c r="F7" s="1" t="s">
        <v>23</v>
      </c>
      <c r="G7" s="1" t="s">
        <v>23</v>
      </c>
      <c r="H7" s="1" t="s">
        <v>23</v>
      </c>
      <c r="I7" s="1" t="s">
        <v>38</v>
      </c>
      <c r="J7" s="3" t="s">
        <v>39</v>
      </c>
      <c r="K7" s="1" t="s">
        <v>40</v>
      </c>
      <c r="L7" s="1">
        <v>5334.0</v>
      </c>
      <c r="M7" s="1">
        <v>219.0</v>
      </c>
      <c r="N7" s="1">
        <v>2.0</v>
      </c>
      <c r="O7" s="1">
        <v>4.0</v>
      </c>
      <c r="P7" s="1">
        <f t="shared" si="1"/>
        <v>225</v>
      </c>
      <c r="Q7" s="1">
        <v>4.22</v>
      </c>
      <c r="R7" s="1" t="s">
        <v>31</v>
      </c>
    </row>
    <row r="8">
      <c r="A8" s="1" t="s">
        <v>19</v>
      </c>
      <c r="B8" s="1" t="s">
        <v>20</v>
      </c>
      <c r="C8" s="2">
        <v>45128.58728009259</v>
      </c>
      <c r="D8" s="1" t="s">
        <v>27</v>
      </c>
      <c r="E8" s="1" t="s">
        <v>22</v>
      </c>
      <c r="F8" s="1" t="s">
        <v>23</v>
      </c>
      <c r="G8" s="1" t="s">
        <v>23</v>
      </c>
      <c r="H8" s="1" t="s">
        <v>23</v>
      </c>
      <c r="I8" s="1" t="s">
        <v>41</v>
      </c>
      <c r="J8" s="3" t="s">
        <v>42</v>
      </c>
      <c r="K8" s="1" t="s">
        <v>43</v>
      </c>
      <c r="L8" s="1">
        <v>3402.0</v>
      </c>
      <c r="M8" s="1">
        <v>141.0</v>
      </c>
      <c r="N8" s="1">
        <v>1.0</v>
      </c>
      <c r="O8" s="1">
        <v>0.0</v>
      </c>
      <c r="P8" s="1">
        <f t="shared" si="1"/>
        <v>142</v>
      </c>
      <c r="Q8" s="1">
        <v>4.17</v>
      </c>
      <c r="R8" s="1" t="s">
        <v>31</v>
      </c>
    </row>
    <row r="9">
      <c r="A9" s="1" t="s">
        <v>19</v>
      </c>
      <c r="B9" s="1" t="s">
        <v>20</v>
      </c>
      <c r="C9" s="2">
        <v>45125.75487268518</v>
      </c>
      <c r="D9" s="1" t="s">
        <v>21</v>
      </c>
      <c r="E9" s="1" t="s">
        <v>22</v>
      </c>
      <c r="F9" s="1" t="s">
        <v>23</v>
      </c>
      <c r="G9" s="1" t="s">
        <v>23</v>
      </c>
      <c r="H9" s="1" t="s">
        <v>23</v>
      </c>
      <c r="I9" s="1" t="s">
        <v>44</v>
      </c>
      <c r="J9" s="3" t="s">
        <v>45</v>
      </c>
      <c r="K9" s="1" t="s">
        <v>46</v>
      </c>
      <c r="L9" s="1">
        <v>5280.0</v>
      </c>
      <c r="M9" s="1">
        <v>325.0</v>
      </c>
      <c r="N9" s="1">
        <v>1.0</v>
      </c>
      <c r="O9" s="1">
        <v>5.0</v>
      </c>
      <c r="P9" s="1">
        <f t="shared" si="1"/>
        <v>331</v>
      </c>
      <c r="Q9" s="1">
        <v>6.27</v>
      </c>
      <c r="R9" s="1">
        <v>0.0</v>
      </c>
    </row>
    <row r="10">
      <c r="L10" s="4">
        <v>9270.0</v>
      </c>
      <c r="P10" s="4">
        <v>376.0</v>
      </c>
      <c r="Q10" s="4">
        <v>4.06</v>
      </c>
    </row>
    <row r="11">
      <c r="L11" s="4">
        <v>12005.0</v>
      </c>
      <c r="P11" s="4">
        <v>397.0</v>
      </c>
      <c r="Q11" s="4">
        <v>3.31</v>
      </c>
    </row>
    <row r="12">
      <c r="L12" s="4">
        <v>11369.0</v>
      </c>
      <c r="P12" s="4">
        <v>614.0</v>
      </c>
      <c r="Q12" s="4">
        <v>5.4</v>
      </c>
    </row>
    <row r="13">
      <c r="L13" s="4">
        <v>8605.0</v>
      </c>
      <c r="P13" s="4">
        <v>398.0</v>
      </c>
      <c r="Q13" s="4">
        <v>4.63</v>
      </c>
    </row>
    <row r="14">
      <c r="L14" s="4">
        <v>9253.0</v>
      </c>
      <c r="P14" s="4">
        <v>350.0</v>
      </c>
      <c r="Q14" s="4">
        <v>3.78</v>
      </c>
    </row>
    <row r="15">
      <c r="L15" s="4">
        <v>9765.0</v>
      </c>
      <c r="P15" s="4">
        <v>295.0</v>
      </c>
      <c r="Q15" s="4">
        <v>3.02</v>
      </c>
    </row>
    <row r="16">
      <c r="L16" s="4">
        <v>9662.0</v>
      </c>
      <c r="P16" s="4">
        <v>320.0</v>
      </c>
      <c r="Q16" s="4">
        <v>3.31</v>
      </c>
    </row>
    <row r="17">
      <c r="L17" s="4">
        <v>10304.0</v>
      </c>
      <c r="P17" s="4">
        <v>313.0</v>
      </c>
      <c r="Q17" s="4">
        <v>3.04</v>
      </c>
    </row>
    <row r="18">
      <c r="L18" s="4">
        <v>7779.0</v>
      </c>
      <c r="P18" s="4">
        <v>243.0</v>
      </c>
      <c r="Q18" s="4">
        <v>3.12</v>
      </c>
    </row>
    <row r="19">
      <c r="L19" s="4">
        <v>10928.0</v>
      </c>
      <c r="P19" s="4">
        <v>341.0</v>
      </c>
      <c r="Q19" s="4">
        <v>3.12</v>
      </c>
    </row>
    <row r="20">
      <c r="L20" s="4">
        <v>12655.0</v>
      </c>
      <c r="P20" s="4">
        <v>396.0</v>
      </c>
      <c r="Q20" s="4">
        <v>3.13</v>
      </c>
    </row>
    <row r="21">
      <c r="L21" s="4">
        <v>16736.0</v>
      </c>
      <c r="P21" s="4">
        <v>654.0</v>
      </c>
      <c r="Q21" s="4">
        <v>3.91</v>
      </c>
    </row>
    <row r="22">
      <c r="L22" s="5">
        <f>AVERAGE(L3:L21)</f>
        <v>10546.15789</v>
      </c>
      <c r="P22" s="6">
        <f>SUM(P3:P21)</f>
        <v>8417</v>
      </c>
      <c r="Q22" s="7">
        <f>AVERAGE(Q3:Q21)</f>
        <v>4.094210526</v>
      </c>
    </row>
    <row r="23">
      <c r="L23" s="6">
        <f>SUM(L3:L21)</f>
        <v>200377</v>
      </c>
    </row>
  </sheetData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</hyperlinks>
  <drawing r:id="rId8"/>
</worksheet>
</file>