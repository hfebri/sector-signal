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 state="visible" name="Sheet1" sheetId="2" r:id="rId5"/>
  </sheets>
  <definedNames/>
  <calcPr/>
</workbook>
</file>

<file path=xl/sharedStrings.xml><?xml version="1.0" encoding="utf-8"?>
<sst xmlns="http://schemas.openxmlformats.org/spreadsheetml/2006/main" count="124" uniqueCount="56">
  <si>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</si>
  <si>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</si>
  <si>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</si>
  <si>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</si>
  <si>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</si>
  <si>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</si>
  <si>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</si>
  <si>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</si>
  <si>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</si>
  <si>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</si>
  <si>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</si>
  <si>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</si>
  <si>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</si>
  <si>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</si>
  <si>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</si>
  <si>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</si>
  <si>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Engagement Total</t>
  </si>
  <si>
    <t>Engagement rate (reach)</t>
  </si>
  <si>
    <t>Video views</t>
  </si>
  <si>
    <t>INSTAGRAM</t>
  </si>
  <si>
    <t>BMW Indonesia</t>
  </si>
  <si>
    <t>CAROUSEL</t>
  </si>
  <si>
    <t>Timeline</t>
  </si>
  <si>
    <t>No</t>
  </si>
  <si>
    <t>We are delighted to announce that @bmwultima has become the First Certified BMW Classic Partner in Asia. With our passion for excellence and attention to detail, we aim to revive the heritage of BMW classic cars and provide exceptional service using only BMW Original Parts.  Along with the launch, we also embrace the future by introducing our timeless convertible roadster, THE NEW Z4 as well as THE NEW BMW 530i Touring M Sport Pro.   For further information, visit BMW Ultima or your nearest authorized BMW dealer, or visit our website at bmw.co.id.  #BMWClassicIndonesia #BMWClassicPartner #BMWUltima</t>
  </si>
  <si>
    <t>https://www.instagram.com/p/CqcJ-MTPkgX/</t>
  </si>
  <si>
    <t>18181628083260715</t>
  </si>
  <si>
    <t>IMAGE</t>
  </si>
  <si>
    <t>We've got exciting news for all BMW Classic enthusiasts in Indonesia, the first BMW Classic Partner is coming to town!   Stay tuned for the launch event today on our Instagram Stories.</t>
  </si>
  <si>
    <t>https://www.instagram.com/p/CqZ7a7UDepn/</t>
  </si>
  <si>
    <t>18257965870148309</t>
  </si>
  <si>
    <t>-</t>
  </si>
  <si>
    <t>Illuminate the road ahead with a style. Discover a world of luxury and innovation with the BMW Crystal Headlights Iconic Glow.   THE 7 &amp; THE i7. Coming Soon.  Sign up to stay informed - Link in bio.   #THE7 #THEi7 #DrivenByJoy #BMWIndonesia #SheerDrivingPleasure</t>
  </si>
  <si>
    <t>https://www.instagram.com/p/CqVFSX3PXy_/</t>
  </si>
  <si>
    <t>17995618474810319</t>
  </si>
  <si>
    <t>The wait is finally over as @bmwastra handover the first 17 units of the BMW iX xDrive40s in Indonesia.   Now, it's time to electrify your joyful driving experience, because we are #BornElectric.   Visit bmw.co.id or contact your nearest BMW i Authorized Dealers for more information.  #DrivenByJoy #SheerDrivingPleasure</t>
  </si>
  <si>
    <t>https://www.instagram.com/p/CqFmoOEv88W/</t>
  </si>
  <si>
    <t>17992515304840705</t>
  </si>
  <si>
    <t>Bringing ultimate luxurious entertainment on the road like never before. Coming soon.  Visit and register your interest at bmw.co.id.</t>
  </si>
  <si>
    <t>https://www.instagram.com/p/Cp2PJV4vuOQ/</t>
  </si>
  <si>
    <t>17948438741593972</t>
  </si>
  <si>
    <t>There are times when you have to put your dream on hold. But we’re telling you, now you can still have your things in order and get your dream BMW at the same time.  This is what BLISS by BMW is about. A smart choice for you to lease your BMW with a low upfront commitment, so you can focus on Sheer Driving Pleasure without compromising your priorities.  For more information about the program, contact BMW Contact Center at 1500 269 or send direct messages to 0852 8888 6269 (WhatsApp).  BLISS by BMW. A Smart option to own a BMW.</t>
  </si>
  <si>
    <t>https://www.instagram.com/p/Cpzp61Kjxws/</t>
  </si>
  <si>
    <t>17958921713244765</t>
  </si>
  <si>
    <t>Exploring the city in style and luxury with THE X3. @Ayladimitri is taking this powerful SUV for a spin and loving every moment of it.   From its bold and modern design to its advanced technology and smooth ride, THE X3 is the perfect car for those who demand the best.   See it for yourself at The BMW Exhibition, exclusive at Plaza Senayan until today 5 March, 2023.  #BMWIndonesia #THEX3 #DrivenByJoy #SheerDrivingPleasure</t>
  </si>
  <si>
    <t>https://www.instagram.com/p/CpZDt3VP4p8/</t>
  </si>
  <si>
    <t>17984370124927398</t>
  </si>
  <si>
    <t>Designed to deliver supreme driving pleasure every time you get behind the wheel, THE 5 has everything you need to make every drive a joyful experience.  Come see and test drive THE 5 yourself at The BMW Exhibition, exclusive at Plaza Senayan Wing Area until March 5, 2023.  #BMWIndonesia #THE5 #DrivenByJoy #SheerDrivingPleasure</t>
  </si>
  <si>
    <t>https://www.instagram.com/p/CpY1YaxIKwH/</t>
  </si>
  <si>
    <t>18028985677476628</t>
  </si>
  <si>
    <t>Stopover at The BMW Exhibition and experience the sheer presence and driving dynamics of the iconic BMW SUV, THE X3 and THE X5.   Don't miss out on our exclusive offers from 3-5 March 2023, at Plaza Senayan Wing Area.  #DrivenByJoy #SheerDrivingPleasure #BMWIndonesia</t>
  </si>
  <si>
    <t>https://www.instagram.com/p/CpWhvI7IfhR/</t>
  </si>
  <si>
    <t>17873552897843797</t>
  </si>
  <si>
    <t>Driving is more enjoyable when you can be present in the moment.  With THE NEW 3, you can be. Just input your navigation route onto the BMW Curved Display and enjoy the ride.  Visit bmw.co.id for more information or test drive THE NEW 3, exclusive on The BMW Exhibition at Plaza Senayan Wing Area, from 3-5 March 2023.  #DrivenByJoy #SheerDrivingPleasure #BMWIndonesia</t>
  </si>
  <si>
    <t>https://www.instagram.com/p/CpU3EuCPH8_/</t>
  </si>
  <si>
    <t>18350314576010333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</si>
</sst>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1"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0" fontId="1" numFmtId="10" xfId="0" applyFont="1" applyNumberFormat="1"/>
    <xf borderId="0" fillId="0" fontId="1" numFmtId="1" xfId="0" applyFont="1" applyNumberFormat="1"/>
    <xf borderId="0" fillId="0" fontId="1" numFmtId="2"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qcJ-MTPkgX/" TargetMode="External"/><Relationship Id="rId2" Type="http://schemas.openxmlformats.org/officeDocument/2006/relationships/hyperlink" Target="https://www.instagram.com/p/CqZ7a7UDepn/" TargetMode="External"/><Relationship Id="rId3" Type="http://schemas.openxmlformats.org/officeDocument/2006/relationships/hyperlink" Target="https://www.instagram.com/p/CqVFSX3PXy_/" TargetMode="External"/><Relationship Id="rId4" Type="http://schemas.openxmlformats.org/officeDocument/2006/relationships/hyperlink" Target="https://www.instagram.com/p/CqFmoOEv88W/" TargetMode="External"/><Relationship Id="rId11" Type="http://schemas.openxmlformats.org/officeDocument/2006/relationships/drawing" Target="../drawings/drawing1.xml"/><Relationship Id="rId10" Type="http://schemas.openxmlformats.org/officeDocument/2006/relationships/hyperlink" Target="https://www.instagram.com/p/CpU3EuCPH8_/" TargetMode="External"/><Relationship Id="rId9" Type="http://schemas.openxmlformats.org/officeDocument/2006/relationships/hyperlink" Target="https://www.instagram.com/p/CpWhvI7IfhR/" TargetMode="External"/><Relationship Id="rId5" Type="http://schemas.openxmlformats.org/officeDocument/2006/relationships/hyperlink" Target="https://www.instagram.com/p/Cp2PJV4vuOQ/" TargetMode="External"/><Relationship Id="rId6" Type="http://schemas.openxmlformats.org/officeDocument/2006/relationships/hyperlink" Target="https://www.instagram.com/p/Cpzp61Kjxws/" TargetMode="External"/><Relationship Id="rId7" Type="http://schemas.openxmlformats.org/officeDocument/2006/relationships/hyperlink" Target="https://www.instagram.com/p/CpZDt3VP4p8/" TargetMode="External"/><Relationship Id="rId8" Type="http://schemas.openxmlformats.org/officeDocument/2006/relationships/hyperlink" Target="https://www.instagram.com/p/CpY1YaxIKw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c r="A3" s="1" t="s">
        <v>19</v>
      </c>
      <c r="B3" s="1" t="s">
        <v>20</v>
      </c>
      <c r="C3" s="2">
        <v>45016.479097222225</v>
      </c>
      <c r="D3" s="1" t="s">
        <v>21</v>
      </c>
      <c r="E3" s="1" t="s">
        <v>22</v>
      </c>
      <c r="F3" s="1" t="s">
        <v>23</v>
      </c>
      <c r="G3" s="1" t="s">
        <v>23</v>
      </c>
      <c r="H3" s="1" t="s">
        <v>23</v>
      </c>
      <c r="I3" s="1" t="s">
        <v>24</v>
      </c>
      <c r="J3" s="3" t="s">
        <v>25</v>
      </c>
      <c r="K3" s="1" t="s">
        <v>26</v>
      </c>
      <c r="L3" s="1">
        <v>19787.0</v>
      </c>
      <c r="M3" s="1">
        <v>1413.0</v>
      </c>
      <c r="N3" s="1">
        <v>11.0</v>
      </c>
      <c r="O3" s="1">
        <v>44.0</v>
      </c>
      <c r="P3" s="1">
        <f t="shared" ref="P3:P12" si="1">sum(M3:O3)</f>
        <v>1468</v>
      </c>
      <c r="Q3" s="1">
        <v>7.42</v>
      </c>
      <c r="R3" s="1">
        <v>0.0</v>
      </c>
    </row>
    <row r="4">
      <c r="A4" s="1" t="s">
        <v>19</v>
      </c>
      <c r="B4" s="1" t="s">
        <v>20</v>
      </c>
      <c r="C4" s="2">
        <v>45015.6141087963</v>
      </c>
      <c r="D4" s="1" t="s">
        <v>27</v>
      </c>
      <c r="E4" s="1" t="s">
        <v>22</v>
      </c>
      <c r="F4" s="1" t="s">
        <v>23</v>
      </c>
      <c r="G4" s="1" t="s">
        <v>23</v>
      </c>
      <c r="H4" s="1" t="s">
        <v>23</v>
      </c>
      <c r="I4" s="1" t="s">
        <v>28</v>
      </c>
      <c r="J4" s="3" t="s">
        <v>29</v>
      </c>
      <c r="K4" s="1" t="s">
        <v>30</v>
      </c>
      <c r="L4" s="1">
        <v>9371.0</v>
      </c>
      <c r="M4" s="1">
        <v>493.0</v>
      </c>
      <c r="N4" s="1">
        <v>1.0</v>
      </c>
      <c r="O4" s="1">
        <v>17.0</v>
      </c>
      <c r="P4" s="1">
        <f t="shared" si="1"/>
        <v>511</v>
      </c>
      <c r="Q4" s="1">
        <v>5.45</v>
      </c>
      <c r="R4" s="1" t="s">
        <v>31</v>
      </c>
    </row>
    <row r="5">
      <c r="A5" s="1" t="s">
        <v>19</v>
      </c>
      <c r="B5" s="1" t="s">
        <v>20</v>
      </c>
      <c r="C5" s="2">
        <v>45013.73212962963</v>
      </c>
      <c r="D5" s="1" t="s">
        <v>27</v>
      </c>
      <c r="E5" s="1" t="s">
        <v>22</v>
      </c>
      <c r="F5" s="1" t="s">
        <v>23</v>
      </c>
      <c r="G5" s="1" t="s">
        <v>23</v>
      </c>
      <c r="H5" s="1" t="s">
        <v>23</v>
      </c>
      <c r="I5" s="1" t="s">
        <v>32</v>
      </c>
      <c r="J5" s="3" t="s">
        <v>33</v>
      </c>
      <c r="K5" s="1" t="s">
        <v>34</v>
      </c>
      <c r="L5" s="1">
        <v>8212.0</v>
      </c>
      <c r="M5" s="1">
        <v>411.0</v>
      </c>
      <c r="N5" s="1">
        <v>5.0</v>
      </c>
      <c r="O5" s="1">
        <v>5.0</v>
      </c>
      <c r="P5" s="1">
        <f t="shared" si="1"/>
        <v>421</v>
      </c>
      <c r="Q5" s="1">
        <v>5.13</v>
      </c>
      <c r="R5" s="1" t="s">
        <v>31</v>
      </c>
    </row>
    <row r="6">
      <c r="A6" s="1" t="s">
        <v>19</v>
      </c>
      <c r="B6" s="1" t="s">
        <v>20</v>
      </c>
      <c r="C6" s="2">
        <v>45007.720671296294</v>
      </c>
      <c r="D6" s="1" t="s">
        <v>21</v>
      </c>
      <c r="E6" s="1" t="s">
        <v>22</v>
      </c>
      <c r="F6" s="1" t="s">
        <v>23</v>
      </c>
      <c r="G6" s="1" t="s">
        <v>23</v>
      </c>
      <c r="H6" s="1" t="s">
        <v>23</v>
      </c>
      <c r="I6" s="1" t="s">
        <v>35</v>
      </c>
      <c r="J6" s="3" t="s">
        <v>36</v>
      </c>
      <c r="K6" s="1" t="s">
        <v>37</v>
      </c>
      <c r="L6" s="1">
        <v>15797.0</v>
      </c>
      <c r="M6" s="1">
        <v>1179.0</v>
      </c>
      <c r="N6" s="1">
        <v>10.0</v>
      </c>
      <c r="O6" s="1">
        <v>28.0</v>
      </c>
      <c r="P6" s="1">
        <f t="shared" si="1"/>
        <v>1217</v>
      </c>
      <c r="Q6" s="1">
        <v>7.7</v>
      </c>
      <c r="R6" s="1">
        <v>0.0</v>
      </c>
    </row>
    <row r="7">
      <c r="A7" s="1" t="s">
        <v>19</v>
      </c>
      <c r="B7" s="1" t="s">
        <v>20</v>
      </c>
      <c r="C7" s="2">
        <v>45001.752754629626</v>
      </c>
      <c r="D7" s="1" t="s">
        <v>27</v>
      </c>
      <c r="E7" s="1" t="s">
        <v>22</v>
      </c>
      <c r="F7" s="1" t="s">
        <v>23</v>
      </c>
      <c r="G7" s="1" t="s">
        <v>23</v>
      </c>
      <c r="H7" s="1" t="s">
        <v>23</v>
      </c>
      <c r="I7" s="1" t="s">
        <v>38</v>
      </c>
      <c r="J7" s="3" t="s">
        <v>39</v>
      </c>
      <c r="K7" s="1" t="s">
        <v>40</v>
      </c>
      <c r="L7" s="1">
        <v>10517.0</v>
      </c>
      <c r="M7" s="1">
        <v>286.0</v>
      </c>
      <c r="N7" s="1">
        <v>2.0</v>
      </c>
      <c r="O7" s="1">
        <v>8.0</v>
      </c>
      <c r="P7" s="1">
        <f t="shared" si="1"/>
        <v>296</v>
      </c>
      <c r="Q7" s="1">
        <v>2.81</v>
      </c>
      <c r="R7" s="1" t="s">
        <v>31</v>
      </c>
    </row>
    <row r="8">
      <c r="A8" s="1" t="s">
        <v>19</v>
      </c>
      <c r="B8" s="1" t="s">
        <v>20</v>
      </c>
      <c r="C8" s="2">
        <v>45000.75016203704</v>
      </c>
      <c r="D8" s="1" t="s">
        <v>27</v>
      </c>
      <c r="E8" s="1" t="s">
        <v>22</v>
      </c>
      <c r="F8" s="1" t="s">
        <v>23</v>
      </c>
      <c r="G8" s="1" t="s">
        <v>23</v>
      </c>
      <c r="H8" s="1" t="s">
        <v>23</v>
      </c>
      <c r="I8" s="1" t="s">
        <v>41</v>
      </c>
      <c r="J8" s="3" t="s">
        <v>42</v>
      </c>
      <c r="K8" s="1" t="s">
        <v>43</v>
      </c>
      <c r="L8" s="1">
        <v>7494.0</v>
      </c>
      <c r="M8" s="1">
        <v>281.0</v>
      </c>
      <c r="N8" s="1">
        <v>2.0</v>
      </c>
      <c r="O8" s="1">
        <v>9.0</v>
      </c>
      <c r="P8" s="1">
        <f t="shared" si="1"/>
        <v>292</v>
      </c>
      <c r="Q8" s="1">
        <v>3.9</v>
      </c>
      <c r="R8" s="1" t="s">
        <v>31</v>
      </c>
    </row>
    <row r="9">
      <c r="A9" s="1" t="s">
        <v>19</v>
      </c>
      <c r="B9" s="1" t="s">
        <v>20</v>
      </c>
      <c r="C9" s="2">
        <v>44990.42091435185</v>
      </c>
      <c r="D9" s="1" t="s">
        <v>27</v>
      </c>
      <c r="E9" s="1" t="s">
        <v>22</v>
      </c>
      <c r="F9" s="1" t="s">
        <v>23</v>
      </c>
      <c r="G9" s="1" t="s">
        <v>23</v>
      </c>
      <c r="H9" s="1" t="s">
        <v>23</v>
      </c>
      <c r="I9" s="1" t="s">
        <v>44</v>
      </c>
      <c r="J9" s="3" t="s">
        <v>45</v>
      </c>
      <c r="K9" s="1" t="s">
        <v>46</v>
      </c>
      <c r="L9" s="1">
        <v>7177.0</v>
      </c>
      <c r="M9" s="1">
        <v>176.0</v>
      </c>
      <c r="N9" s="1">
        <v>0.0</v>
      </c>
      <c r="O9" s="1">
        <v>2.0</v>
      </c>
      <c r="P9" s="1">
        <f t="shared" si="1"/>
        <v>178</v>
      </c>
      <c r="Q9" s="1">
        <v>2.48</v>
      </c>
      <c r="R9" s="1" t="s">
        <v>31</v>
      </c>
    </row>
    <row r="10">
      <c r="A10" s="1" t="s">
        <v>19</v>
      </c>
      <c r="B10" s="1" t="s">
        <v>20</v>
      </c>
      <c r="C10" s="2">
        <v>44990.333969907406</v>
      </c>
      <c r="D10" s="1" t="s">
        <v>21</v>
      </c>
      <c r="E10" s="1" t="s">
        <v>22</v>
      </c>
      <c r="F10" s="1" t="s">
        <v>23</v>
      </c>
      <c r="G10" s="1" t="s">
        <v>23</v>
      </c>
      <c r="H10" s="1" t="s">
        <v>23</v>
      </c>
      <c r="I10" s="1" t="s">
        <v>47</v>
      </c>
      <c r="J10" s="3" t="s">
        <v>48</v>
      </c>
      <c r="K10" s="1" t="s">
        <v>49</v>
      </c>
      <c r="L10" s="1">
        <v>8894.0</v>
      </c>
      <c r="M10" s="1">
        <v>426.0</v>
      </c>
      <c r="N10" s="1">
        <v>3.0</v>
      </c>
      <c r="O10" s="1">
        <v>29.0</v>
      </c>
      <c r="P10" s="1">
        <f t="shared" si="1"/>
        <v>458</v>
      </c>
      <c r="Q10" s="1">
        <v>5.15</v>
      </c>
      <c r="R10" s="1">
        <v>0.0</v>
      </c>
    </row>
    <row r="11">
      <c r="A11" s="1" t="s">
        <v>19</v>
      </c>
      <c r="B11" s="1" t="s">
        <v>20</v>
      </c>
      <c r="C11" s="2">
        <v>44989.438043981485</v>
      </c>
      <c r="D11" s="1" t="s">
        <v>21</v>
      </c>
      <c r="E11" s="1" t="s">
        <v>22</v>
      </c>
      <c r="F11" s="1" t="s">
        <v>23</v>
      </c>
      <c r="G11" s="1" t="s">
        <v>23</v>
      </c>
      <c r="H11" s="1" t="s">
        <v>23</v>
      </c>
      <c r="I11" s="1" t="s">
        <v>50</v>
      </c>
      <c r="J11" s="3" t="s">
        <v>51</v>
      </c>
      <c r="K11" s="1" t="s">
        <v>52</v>
      </c>
      <c r="L11" s="1">
        <v>8682.0</v>
      </c>
      <c r="M11" s="1">
        <v>385.0</v>
      </c>
      <c r="N11" s="1">
        <v>1.0</v>
      </c>
      <c r="O11" s="1">
        <v>25.0</v>
      </c>
      <c r="P11" s="1">
        <f t="shared" si="1"/>
        <v>411</v>
      </c>
      <c r="Q11" s="1">
        <v>4.73</v>
      </c>
      <c r="R11" s="1">
        <v>0.0</v>
      </c>
    </row>
    <row r="12">
      <c r="A12" s="1" t="s">
        <v>19</v>
      </c>
      <c r="B12" s="1" t="s">
        <v>20</v>
      </c>
      <c r="C12" s="2">
        <v>44988.79075231482</v>
      </c>
      <c r="D12" s="1" t="s">
        <v>21</v>
      </c>
      <c r="E12" s="1" t="s">
        <v>22</v>
      </c>
      <c r="F12" s="1" t="s">
        <v>23</v>
      </c>
      <c r="G12" s="1" t="s">
        <v>23</v>
      </c>
      <c r="H12" s="1" t="s">
        <v>23</v>
      </c>
      <c r="I12" s="1" t="s">
        <v>53</v>
      </c>
      <c r="J12" s="3" t="s">
        <v>54</v>
      </c>
      <c r="K12" s="1" t="s">
        <v>55</v>
      </c>
      <c r="L12" s="1">
        <v>18404.0</v>
      </c>
      <c r="M12" s="1">
        <v>1072.0</v>
      </c>
      <c r="N12" s="1">
        <v>4.0</v>
      </c>
      <c r="O12" s="1">
        <v>28.0</v>
      </c>
      <c r="P12" s="1">
        <f t="shared" si="1"/>
        <v>1104</v>
      </c>
      <c r="Q12" s="1">
        <v>6.0</v>
      </c>
      <c r="R12" s="1">
        <v>0.0</v>
      </c>
    </row>
    <row r="13">
      <c r="L13" s="4">
        <v>20651.0</v>
      </c>
      <c r="P13" s="5">
        <v>1034.0</v>
      </c>
      <c r="Q13" s="5">
        <v>5.01</v>
      </c>
    </row>
    <row r="14">
      <c r="L14" s="6">
        <v>5845.0</v>
      </c>
      <c r="P14" s="5">
        <v>182.0</v>
      </c>
      <c r="Q14" s="5">
        <v>3.11</v>
      </c>
    </row>
    <row r="15">
      <c r="L15" s="7">
        <v>7909.0</v>
      </c>
      <c r="P15" s="5">
        <v>232.0</v>
      </c>
      <c r="Q15" s="5">
        <v>2.93</v>
      </c>
    </row>
    <row r="16">
      <c r="L16" s="6">
        <v>7219.0</v>
      </c>
      <c r="P16" s="5">
        <v>225.0</v>
      </c>
      <c r="Q16" s="5">
        <v>3.12</v>
      </c>
    </row>
    <row r="17">
      <c r="L17" s="6">
        <v>11784.0</v>
      </c>
      <c r="P17" s="5">
        <v>258.0</v>
      </c>
      <c r="Q17" s="5">
        <v>2.19</v>
      </c>
    </row>
    <row r="18">
      <c r="L18" s="6">
        <v>11811.0</v>
      </c>
      <c r="P18" s="5">
        <v>341.0</v>
      </c>
      <c r="Q18" s="5">
        <v>2.89</v>
      </c>
    </row>
    <row r="19">
      <c r="L19" s="6">
        <v>12351.0</v>
      </c>
      <c r="P19" s="5">
        <v>279.0</v>
      </c>
      <c r="Q19" s="5">
        <v>2.26</v>
      </c>
    </row>
    <row r="20">
      <c r="L20" s="6">
        <v>7377.0</v>
      </c>
      <c r="P20" s="5">
        <v>222.0</v>
      </c>
      <c r="Q20" s="5">
        <v>3.01</v>
      </c>
    </row>
    <row r="21">
      <c r="L21" s="6">
        <v>29994.0</v>
      </c>
      <c r="P21" s="5">
        <v>832.0</v>
      </c>
      <c r="Q21" s="5">
        <v>2.77</v>
      </c>
    </row>
    <row r="22">
      <c r="L22" s="6">
        <v>8799.0</v>
      </c>
      <c r="P22" s="5">
        <v>265.0</v>
      </c>
      <c r="Q22" s="5">
        <v>3.01</v>
      </c>
    </row>
    <row r="23">
      <c r="I23" s="8">
        <f>154174/154023-1</f>
        <v>0.0009803730612</v>
      </c>
      <c r="K23" s="8">
        <f>L26/12363-1</f>
        <v>0.0342431308</v>
      </c>
      <c r="L23" s="6">
        <v>26044.0</v>
      </c>
      <c r="P23" s="5">
        <v>1051.0</v>
      </c>
      <c r="Q23" s="5">
        <v>4.04</v>
      </c>
    </row>
    <row r="24">
      <c r="L24" s="6">
        <v>8041.0</v>
      </c>
      <c r="P24" s="5">
        <v>319.0</v>
      </c>
      <c r="Q24" s="5">
        <v>3.97</v>
      </c>
    </row>
    <row r="25">
      <c r="L25" s="6">
        <v>21926.0</v>
      </c>
      <c r="P25" s="5">
        <v>528.0</v>
      </c>
      <c r="Q25" s="5">
        <v>2.41</v>
      </c>
    </row>
    <row r="26">
      <c r="L26" s="9">
        <f>AVERAGE(L3:L25)</f>
        <v>12786.34783</v>
      </c>
      <c r="P26" s="9">
        <f>SUM(P3:P25)</f>
        <v>12124</v>
      </c>
      <c r="Q26" s="10">
        <f>AVERAGE(Q3:Q25)</f>
        <v>3.977826087</v>
      </c>
    </row>
    <row r="27">
      <c r="K27" s="8">
        <f>L26/12363-1</f>
        <v>0.0342431308</v>
      </c>
      <c r="N27" s="8"/>
    </row>
  </sheetData>
  <hyperlinks>
    <hyperlink r:id="rId1" ref="J3"/>
    <hyperlink r:id="rId2" ref="J4"/>
    <hyperlink r:id="rId3" ref="J5"/>
    <hyperlink r:id="rId4" ref="J6"/>
    <hyperlink r:id="rId5" ref="J7"/>
    <hyperlink r:id="rId6" ref="J8"/>
    <hyperlink r:id="rId7" ref="J9"/>
    <hyperlink r:id="rId8" ref="J10"/>
    <hyperlink r:id="rId9" ref="J11"/>
    <hyperlink r:id="rId10" ref="J12"/>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1921.0</v>
      </c>
    </row>
    <row r="2">
      <c r="A2" s="1">
        <v>1812.0</v>
      </c>
    </row>
    <row r="3">
      <c r="A3" s="1">
        <v>1764.0</v>
      </c>
    </row>
    <row r="4">
      <c r="A4" s="1">
        <v>1765.0</v>
      </c>
    </row>
    <row r="5">
      <c r="A5" s="1">
        <v>1953.0</v>
      </c>
    </row>
    <row r="6">
      <c r="A6" s="1">
        <v>1877.0</v>
      </c>
    </row>
    <row r="7">
      <c r="A7" s="1">
        <v>1808.0</v>
      </c>
    </row>
    <row r="8">
      <c r="A8" s="1">
        <v>1778.0</v>
      </c>
    </row>
    <row r="9">
      <c r="A9" s="1">
        <v>1729.0</v>
      </c>
    </row>
    <row r="10">
      <c r="A10" s="1">
        <v>1705.0</v>
      </c>
    </row>
    <row r="11">
      <c r="A11" s="1">
        <v>1669.0</v>
      </c>
    </row>
    <row r="12">
      <c r="A12" s="1">
        <v>1629.0</v>
      </c>
    </row>
    <row r="13">
      <c r="A13" s="1">
        <v>1616.0</v>
      </c>
    </row>
    <row r="14">
      <c r="A14" s="1">
        <v>1584.0</v>
      </c>
    </row>
    <row r="15">
      <c r="A15" s="1">
        <v>1564.0</v>
      </c>
    </row>
    <row r="16">
      <c r="A16" s="1">
        <v>1547.0</v>
      </c>
    </row>
    <row r="17">
      <c r="A17" s="1">
        <v>1534.0</v>
      </c>
    </row>
    <row r="18">
      <c r="A18" s="1">
        <v>1493.0</v>
      </c>
    </row>
    <row r="19">
      <c r="A19" s="1">
        <v>1476.0</v>
      </c>
    </row>
    <row r="20">
      <c r="A20" s="11">
        <f>AVERAGE(A1:A19)</f>
        <v>1696</v>
      </c>
    </row>
  </sheetData>
  <drawing r:id="rId1"/>
</worksheet>
</file>