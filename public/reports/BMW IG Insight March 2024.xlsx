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posts_instagram_insight" sheetId="1" r:id="rId4"/>
  </sheets>
  <definedNames/>
  <calcPr/>
</workbook>
</file>

<file path=xl/sharedStrings.xml><?xml version="1.0" encoding="utf-8"?>
<sst xmlns="http://schemas.openxmlformats.org/spreadsheetml/2006/main" count="175" uniqueCount="135">
  <si>
    <t>presence_handle</t>
  </si>
  <si>
    <t>published_at</t>
  </si>
  <si>
    <t>report_generated_at</t>
  </si>
  <si>
    <t>captured_at</t>
  </si>
  <si>
    <t>caption</t>
  </si>
  <si>
    <t>image</t>
  </si>
  <si>
    <t>post_link</t>
  </si>
  <si>
    <t>total_spend</t>
  </si>
  <si>
    <t>post_type</t>
  </si>
  <si>
    <t>reach_organic</t>
  </si>
  <si>
    <t>reach_paid</t>
  </si>
  <si>
    <t>engagement_total</t>
  </si>
  <si>
    <t>engagement_total_organic</t>
  </si>
  <si>
    <t>engagement_total_paid</t>
  </si>
  <si>
    <t>engagement_rate_by_reach_organic</t>
  </si>
  <si>
    <t>engagement_rate_by_reach_paid</t>
  </si>
  <si>
    <t>engagement_rate_by_impression</t>
  </si>
  <si>
    <t>engagement_rate_by_impression_organic</t>
  </si>
  <si>
    <t>engagement_rate_by_impression_paid</t>
  </si>
  <si>
    <t>post_reach_rate_by_follower_organic</t>
  </si>
  <si>
    <t>post_reach_rate_by_follower_paid</t>
  </si>
  <si>
    <t>likes</t>
  </si>
  <si>
    <t>likes_organic</t>
  </si>
  <si>
    <t>likes_paid</t>
  </si>
  <si>
    <t>comments</t>
  </si>
  <si>
    <t>comments_organic</t>
  </si>
  <si>
    <t>comments_paid</t>
  </si>
  <si>
    <t>saves</t>
  </si>
  <si>
    <t>saves_organic</t>
  </si>
  <si>
    <t>saves_paid</t>
  </si>
  <si>
    <t>shares</t>
  </si>
  <si>
    <t>shares_organic</t>
  </si>
  <si>
    <t>shares_paid</t>
  </si>
  <si>
    <t>impressions</t>
  </si>
  <si>
    <t>impressions_organic</t>
  </si>
  <si>
    <t>impressions_paid</t>
  </si>
  <si>
    <t>followers</t>
  </si>
  <si>
    <t>video_views</t>
  </si>
  <si>
    <t>video_views_organic</t>
  </si>
  <si>
    <t>video_views_paid</t>
  </si>
  <si>
    <t>video_view_rate_by_impression</t>
  </si>
  <si>
    <t>video_view_rate_by_impression_organic</t>
  </si>
  <si>
    <t>video_view_rate_by_impression_paid</t>
  </si>
  <si>
    <t>video_views_per_user_organic</t>
  </si>
  <si>
    <t>video_views_per_user_paid</t>
  </si>
  <si>
    <t>carousel_photoper_video_posts</t>
  </si>
  <si>
    <t>carousel_photo_posts</t>
  </si>
  <si>
    <t>carousel_video_posts</t>
  </si>
  <si>
    <t>clicks_paid</t>
  </si>
  <si>
    <t>follows_organic</t>
  </si>
  <si>
    <t>profile_views_organic</t>
  </si>
  <si>
    <t>profile_interactions_organic</t>
  </si>
  <si>
    <t>profile_bio_link_clicks_organic</t>
  </si>
  <si>
    <t>profile_other_interactions_organic</t>
  </si>
  <si>
    <t>social_engagement_total</t>
  </si>
  <si>
    <t>social_engagement_total_organic</t>
  </si>
  <si>
    <t>social_engagement_total_paid</t>
  </si>
  <si>
    <t>social_engagement_rate_by_reach_organic</t>
  </si>
  <si>
    <t>social_engagement_rate_by_reach_paid</t>
  </si>
  <si>
    <t>social_engagement_rate_by_impression</t>
  </si>
  <si>
    <t>social_engagement_rate_by_impression_organic</t>
  </si>
  <si>
    <t>social_engagement_rate_by_impression_paid</t>
  </si>
  <si>
    <t>engagement_rate_by_follower</t>
  </si>
  <si>
    <t>post_tag_ugc</t>
  </si>
  <si>
    <t>post_tag_contests</t>
  </si>
  <si>
    <t>@bmw_indonesia</t>
  </si>
  <si>
    <t>This Ramadan, join us at 'Drive For Change Ramadan On Tour' to get up close with THE iX1 and see THE NEW i4 eDrive35 for the first time.  For more information, please contact your preferred BMW Authorized Dealer.</t>
  </si>
  <si>
    <t>https://d1cdkkfhgor70g.cloudfront.net/C4uB6m9v3gd?postNativeId=17846410662167444</t>
  </si>
  <si>
    <t>https://www.instagram.com/p/C4uB6m9v3gd</t>
  </si>
  <si>
    <t>Carousel</t>
  </si>
  <si>
    <t>The joy of owning a BMW comes with complete peace of mind. #WhateverHappens BMW Service is up to the tusk, so you can focus on what matters the most – Sheer Driving Pleasure. —  BMW i5 eDrive40​: Combined power consumption: 15.9 kWh/100 km. Combined CO2 emissions: 0 g/km. Electric range: 472–582 kilometer (WLTP). *The animals were treated with care and respect, never subjected to abuse or overworking. We collaborated with animal welfare experts for their well-being. #WhateverHappens, Relax. We Care.</t>
  </si>
  <si>
    <t>https://d1cdkkfhgor70g.cloudfront.net/C4-2h7zS0dg?postNativeId=17905388891858752</t>
  </si>
  <si>
    <t>https://www.instagram.com/p/C4-2h7zS0dg</t>
  </si>
  <si>
    <t>Reel</t>
  </si>
  <si>
    <t>Introducing the BMW Vision Neue Klasse X: A captivating glimpse into the future of our BMW X models. 100% electric, fully digital, and committed to circularity. #THEVisionNeueKlasseX #NeueKlasse #EverlastingJOY</t>
  </si>
  <si>
    <t>https://d1cdkkfhgor70g.cloudfront.net/C4ziTBPyb5c?postNativeId=17908286846929780</t>
  </si>
  <si>
    <t>https://www.instagram.com/p/C4ziTBPyb5c</t>
  </si>
  <si>
    <t>Welcoming Ramadan, where the warmth of togetherness and the spirit of giving intertwine to create #EverlastingJOY in every journey.</t>
  </si>
  <si>
    <t>https://d1cdkkfhgor70g.cloudfront.net/C4X_cqKxEPj?postNativeId=17963696636604433</t>
  </si>
  <si>
    <t>https://www.instagram.com/p/C4X_cqKxEPj</t>
  </si>
  <si>
    <t>Photo</t>
  </si>
  <si>
    <t>Within the peaceful hush, where silence reigns supreme, we embrace the Saka New Year with hearts resonating in #EverlastingJOY. Happy Nyepi Day.</t>
  </si>
  <si>
    <t>https://d1cdkkfhgor70g.cloudfront.net/C4WtDI7KPWL?postNativeId=17991803273385543</t>
  </si>
  <si>
    <t>https://www.instagram.com/p/C4WtDI7KPWL</t>
  </si>
  <si>
    <t>Marking International Women’s Day, we celebrate Esther Mahlangu and Stella Clarke, pioneers in art and technology. Esther’s famous 1991 BMW Art Car now uses E Ink on the BMW i5 Flow NOSTOKANA at #FriezeLA. Stella led BMW’s E Ink innovation, seen in the BMW iX Flow (2022) and BMW i Vision Dee (2023). Their collaboration blends traditional art with modern tech, symbolizing female empowerment. The BMW i5 Flow NOSTOKANA, with vibrant colors, intricate patterns, and sound integration, makes art accessible to all, spreading #EverlastingJOY. #InternationalWomensDay</t>
  </si>
  <si>
    <t>https://d1cdkkfhgor70g.cloudfront.net/C4PjZocSsSo?postNativeId=17999711687445316</t>
  </si>
  <si>
    <t>https://www.instagram.com/p/C4PjZocSsSo</t>
  </si>
  <si>
    <t>Feel the high-performance and exclusivity in THE X4M, boasting 510 horsepower and accelerating from 0-100 km/h in just 3.8 seconds. With its dynamic handling, courtesy of Adaptive M Suspension and M Sport brakes, every drive becomes a symphony of precision and #EverlastingJOY. Visit our website or connect with @bmw.eurokars, to explore more about THE X4M. #TheUltimateBMW</t>
  </si>
  <si>
    <t>https://d1cdkkfhgor70g.cloudfront.net/C4psYdQOfP0?postNativeId=18006082769171918</t>
  </si>
  <si>
    <t>https://www.instagram.com/p/C4psYdQOfP0</t>
  </si>
  <si>
    <t>More dynamic than ever, featuring a wealth of digital innovations and, for the first time, all-electric drive, we proudly introduced the 8th generation of the world’s best-selling business sedan, the BMW i5 eDrive40 M Sport.  Alongside this launch, we also introduced our unwavering commitment to ensuring uninterrupted Sheer Driving Pleasure for all BMW customers through RELAX. WE CARE. For #WhateverHappens, rest assured, we'll be there to help you.  Contact your BMW authorized dealer to learn more about THE i5 and our array of BMW services, or visit bmw.co.id for more information. #THEi5 #AllElectricBusinessSedan #WhateverHappens #EverlastingJOY</t>
  </si>
  <si>
    <t>https://d1cdkkfhgor70g.cloudfront.net/C5AY5hVywSz?postNativeId=18006871238169652</t>
  </si>
  <si>
    <t>https://www.instagram.com/p/C5AY5hVywSz</t>
  </si>
  <si>
    <t>Start your electrifying adventures beyond boundaries with the 100% electric BMW iX1. Its compact SAV, exhilarating performance, and seamless tech guarantee #EverlastingJOY on your journey. Explore THE iX1 eDrive20 M Sport further by tapping the link in our bio, or connect with your preferred authorized BMW dealer. #ElectrifyYourDreams</t>
  </si>
  <si>
    <t>https://d1cdkkfhgor70g.cloudfront.net/C39K2NANFdu?postNativeId=18011343764333542</t>
  </si>
  <si>
    <t>https://www.instagram.com/p/C39K2NANFdu</t>
  </si>
  <si>
    <t>THE NEW i4 eDrive35 redefines the future of electric driving. With its sporty shape and sophistication, it leaves a striking impression on the road. Featuring 400 Nm of torque, it achieves an electric range of up to 490 km. This latest variant of THE i4 offers exceptional value, combining affordability with excellence. To see THE NEW i4 eDrive35 up close, visit our selected dealers during ‘Drive For Change Ramadan On Tour’ until 23 March. For more information, contact your preferred authorized BMW dealer. #EverlastingJOY</t>
  </si>
  <si>
    <t>https://d1cdkkfhgor70g.cloudfront.net/C42D1uWy5R7?postNativeId=18017720519177220</t>
  </si>
  <si>
    <t>https://www.instagram.com/p/C42D1uWy5R7</t>
  </si>
  <si>
    <t>With its striking presence, bold lines, and race-inspired engineering, THE X3M commands the road and ignites your passion for driving. From city streets to off-road adventures, it delivers #EverlastingJOY on wheels like no other. To discover more about THE X3M, visit our website or get in touch with @bmw.eurokars. #TheUltimateBMW</t>
  </si>
  <si>
    <t>https://d1cdkkfhgor70g.cloudfront.net/C4dLIgLvIW2?postNativeId=18027563275942858</t>
  </si>
  <si>
    <t>https://www.instagram.com/p/C4dLIgLvIW2</t>
  </si>
  <si>
    <t>Engage with THE iX1 and THE NEW i4 eDrive35, paving the way towards the future of driving pleasure. Visit Ramadan On Tour at our selected dealers until 23 March 2024. For more info, contact your preferred authorized BMW dealer.</t>
  </si>
  <si>
    <t>https://d1cdkkfhgor70g.cloudfront.net/C4zyWWVS2c9?postNativeId=18035171362882984</t>
  </si>
  <si>
    <t>https://www.instagram.com/p/C4zyWWVS2c9</t>
  </si>
  <si>
    <t>Introducing The First-Ever 100% electric BMW i5, where driving dynamics harmonize with electrifying performance.  This advanced generation of the iconic business sedan marks a new era of electrification, showcasing elegance and modernity through its progressive design, intuitive technology, and sustainable materials. #THEi5 #AllElectricBusinessSedan #EverlastingJOY</t>
  </si>
  <si>
    <t>https://d1cdkkfhgor70g.cloudfront.net/C4-fqWQv7qH?postNativeId=18038343913803063</t>
  </si>
  <si>
    <t>https://www.instagram.com/p/C4-fqWQv7qH</t>
  </si>
  <si>
    <t>Envision our 8th generation iconic business sedan, now leading the way with 100% electric. Stay tuned. #EverlastingJOY</t>
  </si>
  <si>
    <t>https://d1cdkkfhgor70g.cloudfront.net/C47uxLOSrke?postNativeId=18038641615794268</t>
  </si>
  <si>
    <t>https://www.instagram.com/p/C47uxLOSrke</t>
  </si>
  <si>
    <t>A bold and elegant shape that elevates your electrifying journey. Stay tuned on 26 March. #EverlastingJOY</t>
  </si>
  <si>
    <t>https://d1cdkkfhgor70g.cloudfront.net/C47_G1DqLJo?postNativeId=18044088652677550</t>
  </si>
  <si>
    <t>https://www.instagram.com/p/C47_G1DqLJo</t>
  </si>
  <si>
    <t>As dawn breaks on a new era, the future is here with an innovation to lead the electrified way. Coming soon on 26 March 2024. #EverlastingJOY</t>
  </si>
  <si>
    <t>https://d1cdkkfhgor70g.cloudfront.net/C472mmXoqbM?postNativeId=18050837062544766</t>
  </si>
  <si>
    <t>https://www.instagram.com/p/C472mmXoqbM</t>
  </si>
  <si>
    <t>Beat the heat with THE iX1. Our battery stays cool and reliable even in the hot weather. Plus, enjoy peace of mind with an 8-year battery warranty for your #EverlastingJOY. #ElectrifyYourDreams</t>
  </si>
  <si>
    <t>https://d1cdkkfhgor70g.cloudfront.net/C4IYYeSSGYj?postNativeId=18051540079585723</t>
  </si>
  <si>
    <t>https://www.instagram.com/p/C4IYYeSSGYj</t>
  </si>
  <si>
    <t>Make your dreams an electrified reality with The All-Electric iX1 eDrive20 M Sport. Bold and aerodynamic, powered by 204 HP, the iX1 sets a new standard for electric mobility with its zero-emissions functionality and versatility. To #ElectrifyYourDreams with THE iX1, visit our selected dealers during ‘Drive For Change Ramadan On Tour’ until 23 March. For more information, contact your preferred authorized BMW dealer. #EverlastingJOY</t>
  </si>
  <si>
    <t>https://d1cdkkfhgor70g.cloudfront.net/C40QmrAymVl?postNativeId=18064474534463313</t>
  </si>
  <si>
    <t>https://www.instagram.com/p/C40QmrAymVl</t>
  </si>
  <si>
    <t>Endure the latest version of Indonesia’s no. 1 premium EV, THE iX xDrive50 Sport, boasting increased power, acceleration, and electric range.  Enjoy sustainable driving with advanced smart technology for #EverlastingJOY on wheels. Connect with your nearest authorized BMW dealer or tap the link in our bio, to know more about THE iX.</t>
  </si>
  <si>
    <t>https://d1cdkkfhgor70g.cloudfront.net/C4K79DPS1kq?postNativeId=18243805243222610</t>
  </si>
  <si>
    <t>https://www.instagram.com/p/C4K79DPS1kq</t>
  </si>
  <si>
    <t>As the sun rises, finalists from BMW Indonesia step onto the course with determination, grace, and JOY. With every swing, they strive for excellence, ready to overcome challenges and make their mark on BMW golf history. Stay tuned for the 2023 BMW Golf Cup World Final, taking place from 4-9 March in South Africa. Best of luck to all the finalists for an amazing tournament. #EverlastingJOY</t>
  </si>
  <si>
    <t>https://d1cdkkfhgor70g.cloudfront.net/C4Nan47SyTV?postNativeId=18312842848125637</t>
  </si>
  <si>
    <t>https://www.instagram.com/p/C4Nan47SyTV</t>
  </si>
  <si>
    <t>Experience the world’s best-selling business sedan in 100% electric, The First-Ever BMW i5 eDrive40 M Sport. Connect with your preferred authorized BMW dealer or visit bmw.co.id, to discover more about THE i5. #THEi5 #AllElectricBusinessSedan #EverlastingJOY</t>
  </si>
  <si>
    <t>https://d1cdkkfhgor70g.cloudfront.net/C5BIcr9SZCU?postNativeId=17927795735844193</t>
  </si>
  <si>
    <t>https://www.instagram.com/p/C5BIcr9SZCU</t>
  </si>
  <si>
    <t>As the echoes of triumph resound, embrace the #EverlastingJOY found in victory. Wishing you a Happy Easter, a celebration of hope, love, and renewal.</t>
  </si>
  <si>
    <t>https://d1cdkkfhgor70g.cloudfront.net/C5KZe-NS9_G?postNativeId=18020121107476886</t>
  </si>
  <si>
    <t>https://www.instagram.com/p/C5KZe-NS9_G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</si>
</sst>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C4Nan47SyTV" TargetMode="External"/><Relationship Id="rId20" Type="http://schemas.openxmlformats.org/officeDocument/2006/relationships/hyperlink" Target="https://www.instagram.com/p/C42D1uWy5R7" TargetMode="External"/><Relationship Id="rId42" Type="http://schemas.openxmlformats.org/officeDocument/2006/relationships/hyperlink" Target="https://www.instagram.com/p/C5BIcr9SZCU" TargetMode="External"/><Relationship Id="rId41" Type="http://schemas.openxmlformats.org/officeDocument/2006/relationships/hyperlink" Target="https://d1cdkkfhgor70g.cloudfront.net/C5BIcr9SZCU?postNativeId=17927795735844193" TargetMode="External"/><Relationship Id="rId22" Type="http://schemas.openxmlformats.org/officeDocument/2006/relationships/hyperlink" Target="https://www.instagram.com/p/C4dLIgLvIW2" TargetMode="External"/><Relationship Id="rId44" Type="http://schemas.openxmlformats.org/officeDocument/2006/relationships/hyperlink" Target="https://www.instagram.com/p/C5KZe-NS9_G" TargetMode="External"/><Relationship Id="rId21" Type="http://schemas.openxmlformats.org/officeDocument/2006/relationships/hyperlink" Target="https://d1cdkkfhgor70g.cloudfront.net/C4dLIgLvIW2?postNativeId=18027563275942858" TargetMode="External"/><Relationship Id="rId43" Type="http://schemas.openxmlformats.org/officeDocument/2006/relationships/hyperlink" Target="https://d1cdkkfhgor70g.cloudfront.net/C5KZe-NS9_G?postNativeId=18020121107476886" TargetMode="External"/><Relationship Id="rId24" Type="http://schemas.openxmlformats.org/officeDocument/2006/relationships/hyperlink" Target="https://www.instagram.com/p/C4zyWWVS2c9" TargetMode="External"/><Relationship Id="rId23" Type="http://schemas.openxmlformats.org/officeDocument/2006/relationships/hyperlink" Target="https://d1cdkkfhgor70g.cloudfront.net/C4zyWWVS2c9?postNativeId=18035171362882984" TargetMode="External"/><Relationship Id="rId45" Type="http://schemas.openxmlformats.org/officeDocument/2006/relationships/drawing" Target="../drawings/drawing1.xml"/><Relationship Id="rId1" Type="http://schemas.openxmlformats.org/officeDocument/2006/relationships/hyperlink" Target="https://d1cdkkfhgor70g.cloudfront.net/C4uB6m9v3gd?postNativeId=17846410662167444" TargetMode="External"/><Relationship Id="rId2" Type="http://schemas.openxmlformats.org/officeDocument/2006/relationships/hyperlink" Target="https://www.instagram.com/p/C4uB6m9v3gd" TargetMode="External"/><Relationship Id="rId3" Type="http://schemas.openxmlformats.org/officeDocument/2006/relationships/hyperlink" Target="https://d1cdkkfhgor70g.cloudfront.net/C4-2h7zS0dg?postNativeId=17905388891858752" TargetMode="External"/><Relationship Id="rId4" Type="http://schemas.openxmlformats.org/officeDocument/2006/relationships/hyperlink" Target="https://www.instagram.com/p/C4-2h7zS0dg" TargetMode="External"/><Relationship Id="rId9" Type="http://schemas.openxmlformats.org/officeDocument/2006/relationships/hyperlink" Target="https://d1cdkkfhgor70g.cloudfront.net/C4WtDI7KPWL?postNativeId=17991803273385543" TargetMode="External"/><Relationship Id="rId26" Type="http://schemas.openxmlformats.org/officeDocument/2006/relationships/hyperlink" Target="https://www.instagram.com/p/C4-fqWQv7qH" TargetMode="External"/><Relationship Id="rId25" Type="http://schemas.openxmlformats.org/officeDocument/2006/relationships/hyperlink" Target="https://d1cdkkfhgor70g.cloudfront.net/C4-fqWQv7qH?postNativeId=18038343913803063" TargetMode="External"/><Relationship Id="rId28" Type="http://schemas.openxmlformats.org/officeDocument/2006/relationships/hyperlink" Target="https://www.instagram.com/p/C47uxLOSrke" TargetMode="External"/><Relationship Id="rId27" Type="http://schemas.openxmlformats.org/officeDocument/2006/relationships/hyperlink" Target="https://d1cdkkfhgor70g.cloudfront.net/C47uxLOSrke?postNativeId=18038641615794268" TargetMode="External"/><Relationship Id="rId5" Type="http://schemas.openxmlformats.org/officeDocument/2006/relationships/hyperlink" Target="https://d1cdkkfhgor70g.cloudfront.net/C4ziTBPyb5c?postNativeId=17908286846929780" TargetMode="External"/><Relationship Id="rId6" Type="http://schemas.openxmlformats.org/officeDocument/2006/relationships/hyperlink" Target="https://www.instagram.com/p/C4ziTBPyb5c" TargetMode="External"/><Relationship Id="rId29" Type="http://schemas.openxmlformats.org/officeDocument/2006/relationships/hyperlink" Target="https://d1cdkkfhgor70g.cloudfront.net/C47_G1DqLJo?postNativeId=18044088652677550" TargetMode="External"/><Relationship Id="rId7" Type="http://schemas.openxmlformats.org/officeDocument/2006/relationships/hyperlink" Target="https://d1cdkkfhgor70g.cloudfront.net/C4X_cqKxEPj?postNativeId=17963696636604433" TargetMode="External"/><Relationship Id="rId8" Type="http://schemas.openxmlformats.org/officeDocument/2006/relationships/hyperlink" Target="https://www.instagram.com/p/C4X_cqKxEPj" TargetMode="External"/><Relationship Id="rId31" Type="http://schemas.openxmlformats.org/officeDocument/2006/relationships/hyperlink" Target="https://d1cdkkfhgor70g.cloudfront.net/C472mmXoqbM?postNativeId=18050837062544766" TargetMode="External"/><Relationship Id="rId30" Type="http://schemas.openxmlformats.org/officeDocument/2006/relationships/hyperlink" Target="https://www.instagram.com/p/C47_G1DqLJo" TargetMode="External"/><Relationship Id="rId11" Type="http://schemas.openxmlformats.org/officeDocument/2006/relationships/hyperlink" Target="https://d1cdkkfhgor70g.cloudfront.net/C4PjZocSsSo?postNativeId=17999711687445316" TargetMode="External"/><Relationship Id="rId33" Type="http://schemas.openxmlformats.org/officeDocument/2006/relationships/hyperlink" Target="https://d1cdkkfhgor70g.cloudfront.net/C4IYYeSSGYj?postNativeId=18051540079585723" TargetMode="External"/><Relationship Id="rId10" Type="http://schemas.openxmlformats.org/officeDocument/2006/relationships/hyperlink" Target="https://www.instagram.com/p/C4WtDI7KPWL" TargetMode="External"/><Relationship Id="rId32" Type="http://schemas.openxmlformats.org/officeDocument/2006/relationships/hyperlink" Target="https://www.instagram.com/p/C472mmXoqbM" TargetMode="External"/><Relationship Id="rId13" Type="http://schemas.openxmlformats.org/officeDocument/2006/relationships/hyperlink" Target="https://d1cdkkfhgor70g.cloudfront.net/C4psYdQOfP0?postNativeId=18006082769171918" TargetMode="External"/><Relationship Id="rId35" Type="http://schemas.openxmlformats.org/officeDocument/2006/relationships/hyperlink" Target="https://d1cdkkfhgor70g.cloudfront.net/C40QmrAymVl?postNativeId=18064474534463313" TargetMode="External"/><Relationship Id="rId12" Type="http://schemas.openxmlformats.org/officeDocument/2006/relationships/hyperlink" Target="https://www.instagram.com/p/C4PjZocSsSo" TargetMode="External"/><Relationship Id="rId34" Type="http://schemas.openxmlformats.org/officeDocument/2006/relationships/hyperlink" Target="https://www.instagram.com/p/C4IYYeSSGYj" TargetMode="External"/><Relationship Id="rId15" Type="http://schemas.openxmlformats.org/officeDocument/2006/relationships/hyperlink" Target="https://d1cdkkfhgor70g.cloudfront.net/C5AY5hVywSz?postNativeId=18006871238169652" TargetMode="External"/><Relationship Id="rId37" Type="http://schemas.openxmlformats.org/officeDocument/2006/relationships/hyperlink" Target="https://d1cdkkfhgor70g.cloudfront.net/C4K79DPS1kq?postNativeId=18243805243222610" TargetMode="External"/><Relationship Id="rId14" Type="http://schemas.openxmlformats.org/officeDocument/2006/relationships/hyperlink" Target="https://www.instagram.com/p/C4psYdQOfP0" TargetMode="External"/><Relationship Id="rId36" Type="http://schemas.openxmlformats.org/officeDocument/2006/relationships/hyperlink" Target="https://www.instagram.com/p/C40QmrAymVl" TargetMode="External"/><Relationship Id="rId17" Type="http://schemas.openxmlformats.org/officeDocument/2006/relationships/hyperlink" Target="https://d1cdkkfhgor70g.cloudfront.net/C39K2NANFdu?postNativeId=18011343764333542" TargetMode="External"/><Relationship Id="rId39" Type="http://schemas.openxmlformats.org/officeDocument/2006/relationships/hyperlink" Target="https://d1cdkkfhgor70g.cloudfront.net/C4Nan47SyTV?postNativeId=18312842848125637" TargetMode="External"/><Relationship Id="rId16" Type="http://schemas.openxmlformats.org/officeDocument/2006/relationships/hyperlink" Target="https://www.instagram.com/p/C5AY5hVywSz" TargetMode="External"/><Relationship Id="rId38" Type="http://schemas.openxmlformats.org/officeDocument/2006/relationships/hyperlink" Target="https://www.instagram.com/p/C4K79DPS1kq" TargetMode="External"/><Relationship Id="rId19" Type="http://schemas.openxmlformats.org/officeDocument/2006/relationships/hyperlink" Target="https://d1cdkkfhgor70g.cloudfront.net/C42D1uWy5R7?postNativeId=18017720519177220" TargetMode="External"/><Relationship Id="rId18" Type="http://schemas.openxmlformats.org/officeDocument/2006/relationships/hyperlink" Target="https://www.instagram.com/p/C39K2NANF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c r="A2" s="1" t="s">
        <v>65</v>
      </c>
      <c r="B2" s="3">
        <v>45371.392604166664</v>
      </c>
      <c r="C2" s="3">
        <v>45385.4653587963</v>
      </c>
      <c r="D2" s="3">
        <v>45385.42460648148</v>
      </c>
      <c r="E2" s="1" t="s">
        <v>66</v>
      </c>
      <c r="F2" s="4" t="s">
        <v>67</v>
      </c>
      <c r="G2" s="4" t="s">
        <v>68</v>
      </c>
      <c r="H2" s="1">
        <v>0.0</v>
      </c>
      <c r="I2" s="1" t="s">
        <v>69</v>
      </c>
      <c r="J2" s="1">
        <v>4340.0</v>
      </c>
      <c r="K2" s="1">
        <v>0.0</v>
      </c>
      <c r="L2" s="1">
        <v>177.0</v>
      </c>
      <c r="M2" s="1">
        <v>177.0</v>
      </c>
      <c r="N2" s="1">
        <v>0.0</v>
      </c>
      <c r="O2" s="2">
        <v>0.0407834101382488</v>
      </c>
      <c r="P2" s="1">
        <v>0.0</v>
      </c>
      <c r="Q2" s="1">
        <v>0.0321993814808077</v>
      </c>
      <c r="R2" s="1">
        <v>0.0321993814808077</v>
      </c>
      <c r="S2" s="1">
        <v>0.0</v>
      </c>
      <c r="T2" s="1">
        <v>0.0130074088282542</v>
      </c>
      <c r="U2" s="1">
        <v>0.0</v>
      </c>
      <c r="V2" s="1">
        <v>152.0</v>
      </c>
      <c r="W2" s="1">
        <v>152.0</v>
      </c>
      <c r="X2" s="1">
        <v>0.0</v>
      </c>
      <c r="Y2" s="1">
        <v>2.0</v>
      </c>
      <c r="Z2" s="1">
        <v>2.0</v>
      </c>
      <c r="AA2" s="1">
        <v>0.0</v>
      </c>
      <c r="AB2" s="1">
        <v>6.0</v>
      </c>
      <c r="AC2" s="1">
        <v>6.0</v>
      </c>
      <c r="AD2" s="1">
        <v>0.0</v>
      </c>
      <c r="AG2" s="1">
        <v>0.0</v>
      </c>
      <c r="AH2" s="1">
        <v>5497.0</v>
      </c>
      <c r="AI2" s="1">
        <v>5497.0</v>
      </c>
      <c r="AJ2" s="1">
        <v>0.0</v>
      </c>
      <c r="AK2" s="1">
        <v>333656.0</v>
      </c>
      <c r="AN2" s="1">
        <v>0.0</v>
      </c>
      <c r="AQ2" s="1">
        <v>0.0</v>
      </c>
      <c r="AS2" s="1">
        <v>0.0</v>
      </c>
      <c r="AT2" s="1">
        <v>2.0</v>
      </c>
      <c r="AU2" s="1">
        <v>2.0</v>
      </c>
      <c r="AV2" s="1">
        <v>0.0</v>
      </c>
      <c r="AW2" s="1">
        <v>0.0</v>
      </c>
      <c r="BC2" s="1">
        <v>154.0</v>
      </c>
      <c r="BD2" s="1">
        <v>154.0</v>
      </c>
      <c r="BE2" s="1">
        <v>0.0</v>
      </c>
      <c r="BF2" s="1">
        <v>0.0354838709677419</v>
      </c>
      <c r="BG2" s="1">
        <v>0.0</v>
      </c>
      <c r="BH2" s="1">
        <v>0.0280152810623976</v>
      </c>
      <c r="BI2" s="1">
        <v>0.0280152810623976</v>
      </c>
      <c r="BJ2" s="1">
        <v>0.0</v>
      </c>
      <c r="BK2" s="1">
        <v>5.30486489078572E-4</v>
      </c>
      <c r="BL2" s="1">
        <v>0.0</v>
      </c>
      <c r="BM2" s="1">
        <v>0.0</v>
      </c>
    </row>
    <row r="3">
      <c r="A3" s="1" t="s">
        <v>65</v>
      </c>
      <c r="B3" s="3">
        <v>45377.92625</v>
      </c>
      <c r="C3" s="3">
        <v>45385.4653587963</v>
      </c>
      <c r="D3" s="3">
        <v>45385.42460648148</v>
      </c>
      <c r="E3" s="1" t="s">
        <v>70</v>
      </c>
      <c r="F3" s="4" t="s">
        <v>71</v>
      </c>
      <c r="G3" s="4" t="s">
        <v>72</v>
      </c>
      <c r="H3" s="1">
        <v>0.0</v>
      </c>
      <c r="I3" s="1" t="s">
        <v>73</v>
      </c>
      <c r="J3" s="1">
        <v>8942.0</v>
      </c>
      <c r="K3" s="1">
        <v>0.0</v>
      </c>
      <c r="L3" s="1">
        <v>404.0</v>
      </c>
      <c r="M3" s="1">
        <v>404.0</v>
      </c>
      <c r="N3" s="1">
        <v>0.0</v>
      </c>
      <c r="O3" s="2">
        <v>0.0451800492059941</v>
      </c>
      <c r="P3" s="1">
        <v>0.0</v>
      </c>
      <c r="Q3" s="1">
        <v>0.0419871128663479</v>
      </c>
      <c r="R3" s="1">
        <v>0.0419871128663479</v>
      </c>
      <c r="S3" s="1">
        <v>0.0</v>
      </c>
      <c r="T3" s="1">
        <v>0.0267769446374242</v>
      </c>
      <c r="U3" s="1">
        <v>0.0</v>
      </c>
      <c r="V3" s="1">
        <v>375.0</v>
      </c>
      <c r="W3" s="1">
        <v>375.0</v>
      </c>
      <c r="X3" s="1">
        <v>0.0</v>
      </c>
      <c r="Y3" s="1">
        <v>1.0</v>
      </c>
      <c r="Z3" s="1">
        <v>1.0</v>
      </c>
      <c r="AA3" s="1">
        <v>0.0</v>
      </c>
      <c r="AB3" s="1">
        <v>11.0</v>
      </c>
      <c r="AC3" s="1">
        <v>11.0</v>
      </c>
      <c r="AD3" s="1">
        <v>0.0</v>
      </c>
      <c r="AE3" s="1">
        <v>17.0</v>
      </c>
      <c r="AF3" s="1">
        <v>17.0</v>
      </c>
      <c r="AG3" s="1">
        <v>0.0</v>
      </c>
      <c r="AH3" s="1">
        <v>9622.0</v>
      </c>
      <c r="AI3" s="1">
        <v>9622.0</v>
      </c>
      <c r="AJ3" s="1">
        <v>0.0</v>
      </c>
      <c r="AK3" s="1">
        <v>333944.0</v>
      </c>
      <c r="AL3" s="1">
        <v>9622.0</v>
      </c>
      <c r="AM3" s="1">
        <v>9622.0</v>
      </c>
      <c r="AN3" s="1">
        <v>0.0</v>
      </c>
      <c r="AO3" s="1">
        <v>1.0</v>
      </c>
      <c r="AP3" s="1">
        <v>1.0</v>
      </c>
      <c r="AQ3" s="1">
        <v>0.0</v>
      </c>
      <c r="AR3" s="1">
        <v>1.07604562737642</v>
      </c>
      <c r="AS3" s="1">
        <v>0.0</v>
      </c>
      <c r="AW3" s="1">
        <v>0.0</v>
      </c>
      <c r="BC3" s="1">
        <v>376.0</v>
      </c>
      <c r="BD3" s="1">
        <v>376.0</v>
      </c>
      <c r="BE3" s="1">
        <v>0.0</v>
      </c>
      <c r="BF3" s="1">
        <v>0.0420487586669648</v>
      </c>
      <c r="BG3" s="1">
        <v>0.0</v>
      </c>
      <c r="BH3" s="1">
        <v>0.0390771149449179</v>
      </c>
      <c r="BI3" s="1">
        <v>0.0390771149449179</v>
      </c>
      <c r="BJ3" s="1">
        <v>0.0</v>
      </c>
      <c r="BK3" s="1">
        <v>0.001209783676305</v>
      </c>
      <c r="BL3" s="1">
        <v>0.0</v>
      </c>
      <c r="BM3" s="1">
        <v>0.0</v>
      </c>
    </row>
    <row r="4">
      <c r="A4" s="1" t="s">
        <v>65</v>
      </c>
      <c r="B4" s="3">
        <v>45373.531793981485</v>
      </c>
      <c r="C4" s="3">
        <v>45385.4653587963</v>
      </c>
      <c r="D4" s="3">
        <v>45385.42460648148</v>
      </c>
      <c r="E4" s="1" t="s">
        <v>74</v>
      </c>
      <c r="F4" s="4" t="s">
        <v>75</v>
      </c>
      <c r="G4" s="4" t="s">
        <v>76</v>
      </c>
      <c r="H4" s="1">
        <v>0.0</v>
      </c>
      <c r="I4" s="1" t="s">
        <v>73</v>
      </c>
      <c r="J4" s="1">
        <v>7751.0</v>
      </c>
      <c r="K4" s="1">
        <v>0.0</v>
      </c>
      <c r="L4" s="1">
        <v>381.0</v>
      </c>
      <c r="M4" s="1">
        <v>381.0</v>
      </c>
      <c r="N4" s="1">
        <v>0.0</v>
      </c>
      <c r="O4" s="2">
        <v>0.0491549477486775</v>
      </c>
      <c r="P4" s="1">
        <v>0.0</v>
      </c>
      <c r="Q4" s="1">
        <v>0.0451314854299928</v>
      </c>
      <c r="R4" s="1">
        <v>0.0451314854299928</v>
      </c>
      <c r="S4" s="1">
        <v>0.0</v>
      </c>
      <c r="T4" s="1">
        <v>0.023230512863548</v>
      </c>
      <c r="U4" s="1">
        <v>0.0</v>
      </c>
      <c r="V4" s="1">
        <v>335.0</v>
      </c>
      <c r="W4" s="1">
        <v>335.0</v>
      </c>
      <c r="X4" s="1">
        <v>0.0</v>
      </c>
      <c r="Y4" s="1">
        <v>0.0</v>
      </c>
      <c r="Z4" s="1">
        <v>0.0</v>
      </c>
      <c r="AA4" s="1">
        <v>0.0</v>
      </c>
      <c r="AB4" s="1">
        <v>13.0</v>
      </c>
      <c r="AC4" s="1">
        <v>13.0</v>
      </c>
      <c r="AD4" s="1">
        <v>0.0</v>
      </c>
      <c r="AE4" s="1">
        <v>33.0</v>
      </c>
      <c r="AF4" s="1">
        <v>33.0</v>
      </c>
      <c r="AG4" s="1">
        <v>0.0</v>
      </c>
      <c r="AH4" s="1">
        <v>8442.0</v>
      </c>
      <c r="AI4" s="1">
        <v>8442.0</v>
      </c>
      <c r="AJ4" s="1">
        <v>0.0</v>
      </c>
      <c r="AK4" s="1">
        <v>333656.0</v>
      </c>
      <c r="AL4" s="1">
        <v>8442.0</v>
      </c>
      <c r="AM4" s="1">
        <v>8442.0</v>
      </c>
      <c r="AN4" s="1">
        <v>0.0</v>
      </c>
      <c r="AO4" s="1">
        <v>1.0</v>
      </c>
      <c r="AP4" s="1">
        <v>1.0</v>
      </c>
      <c r="AQ4" s="1">
        <v>0.0</v>
      </c>
      <c r="AR4" s="1">
        <v>1.08914978712424</v>
      </c>
      <c r="AS4" s="1">
        <v>0.0</v>
      </c>
      <c r="AW4" s="1">
        <v>0.0</v>
      </c>
      <c r="BC4" s="1">
        <v>335.0</v>
      </c>
      <c r="BD4" s="1">
        <v>335.0</v>
      </c>
      <c r="BE4" s="1">
        <v>0.0</v>
      </c>
      <c r="BF4" s="1">
        <v>0.0432202296477873</v>
      </c>
      <c r="BG4" s="1">
        <v>0.0</v>
      </c>
      <c r="BH4" s="1">
        <v>0.0396825396825396</v>
      </c>
      <c r="BI4" s="1">
        <v>0.0396825396825396</v>
      </c>
      <c r="BJ4" s="1">
        <v>0.0</v>
      </c>
      <c r="BK4" s="1">
        <v>0.00114189464598268</v>
      </c>
      <c r="BL4" s="1">
        <v>0.0</v>
      </c>
      <c r="BM4" s="1">
        <v>0.0</v>
      </c>
    </row>
    <row r="5">
      <c r="A5" s="1" t="s">
        <v>65</v>
      </c>
      <c r="B5" s="3">
        <v>45362.83368055556</v>
      </c>
      <c r="C5" s="3">
        <v>45385.4653587963</v>
      </c>
      <c r="D5" s="3">
        <v>45385.42460648148</v>
      </c>
      <c r="E5" s="1" t="s">
        <v>77</v>
      </c>
      <c r="F5" s="4" t="s">
        <v>78</v>
      </c>
      <c r="G5" s="4" t="s">
        <v>79</v>
      </c>
      <c r="H5" s="1">
        <v>0.0</v>
      </c>
      <c r="I5" s="1" t="s">
        <v>80</v>
      </c>
      <c r="J5" s="1">
        <v>6831.0</v>
      </c>
      <c r="K5" s="1">
        <v>0.0</v>
      </c>
      <c r="L5" s="1">
        <v>324.0</v>
      </c>
      <c r="M5" s="1">
        <v>324.0</v>
      </c>
      <c r="N5" s="1">
        <v>0.0</v>
      </c>
      <c r="O5" s="2">
        <v>0.0474308300395256</v>
      </c>
      <c r="P5" s="1">
        <v>0.0</v>
      </c>
      <c r="Q5" s="1">
        <v>0.0438548998375744</v>
      </c>
      <c r="R5" s="1">
        <v>0.0438548998375744</v>
      </c>
      <c r="S5" s="1">
        <v>0.0</v>
      </c>
      <c r="T5" s="1">
        <v>0.0204944960982151</v>
      </c>
      <c r="U5" s="1">
        <v>0.0</v>
      </c>
      <c r="V5" s="1">
        <v>297.0</v>
      </c>
      <c r="W5" s="1">
        <v>297.0</v>
      </c>
      <c r="X5" s="1">
        <v>0.0</v>
      </c>
      <c r="Y5" s="1">
        <v>2.0</v>
      </c>
      <c r="Z5" s="1">
        <v>2.0</v>
      </c>
      <c r="AA5" s="1">
        <v>0.0</v>
      </c>
      <c r="AB5" s="1">
        <v>6.0</v>
      </c>
      <c r="AC5" s="1">
        <v>6.0</v>
      </c>
      <c r="AD5" s="1">
        <v>0.0</v>
      </c>
      <c r="AE5" s="1">
        <v>19.0</v>
      </c>
      <c r="AF5" s="1">
        <v>19.0</v>
      </c>
      <c r="AG5" s="1">
        <v>0.0</v>
      </c>
      <c r="AH5" s="1">
        <v>7388.0</v>
      </c>
      <c r="AI5" s="1">
        <v>7388.0</v>
      </c>
      <c r="AJ5" s="1">
        <v>0.0</v>
      </c>
      <c r="AK5" s="1">
        <v>333309.0</v>
      </c>
      <c r="AN5" s="1">
        <v>0.0</v>
      </c>
      <c r="AQ5" s="1">
        <v>0.0</v>
      </c>
      <c r="AS5" s="1">
        <v>0.0</v>
      </c>
      <c r="AW5" s="1">
        <v>0.0</v>
      </c>
      <c r="AX5" s="1">
        <v>2.0</v>
      </c>
      <c r="AY5" s="1">
        <v>39.0</v>
      </c>
      <c r="AZ5" s="1">
        <v>0.0</v>
      </c>
      <c r="BA5" s="1">
        <v>0.0</v>
      </c>
      <c r="BB5" s="1">
        <v>0.0</v>
      </c>
      <c r="BC5" s="1">
        <v>299.0</v>
      </c>
      <c r="BD5" s="1">
        <v>299.0</v>
      </c>
      <c r="BE5" s="1">
        <v>0.0</v>
      </c>
      <c r="BF5" s="1">
        <v>0.0437710437710437</v>
      </c>
      <c r="BG5" s="1">
        <v>0.0</v>
      </c>
      <c r="BH5" s="1">
        <v>0.0404710341093665</v>
      </c>
      <c r="BI5" s="1">
        <v>0.0404710341093665</v>
      </c>
      <c r="BJ5" s="1">
        <v>0.0</v>
      </c>
      <c r="BK5" s="1">
        <v>9.72070961180166E-4</v>
      </c>
      <c r="BL5" s="1">
        <v>0.0</v>
      </c>
      <c r="BM5" s="1">
        <v>0.0</v>
      </c>
    </row>
    <row r="6">
      <c r="A6" s="1" t="s">
        <v>65</v>
      </c>
      <c r="B6" s="3">
        <v>45362.33368055556</v>
      </c>
      <c r="C6" s="3">
        <v>45385.4653587963</v>
      </c>
      <c r="D6" s="3">
        <v>45385.42460648148</v>
      </c>
      <c r="E6" s="1" t="s">
        <v>81</v>
      </c>
      <c r="F6" s="4" t="s">
        <v>82</v>
      </c>
      <c r="G6" s="4" t="s">
        <v>83</v>
      </c>
      <c r="H6" s="1">
        <v>0.0</v>
      </c>
      <c r="I6" s="1" t="s">
        <v>80</v>
      </c>
      <c r="J6" s="1">
        <v>6392.0</v>
      </c>
      <c r="K6" s="1">
        <v>0.0</v>
      </c>
      <c r="L6" s="1">
        <v>322.0</v>
      </c>
      <c r="M6" s="1">
        <v>322.0</v>
      </c>
      <c r="N6" s="1">
        <v>0.0</v>
      </c>
      <c r="O6" s="2">
        <v>0.0503754693366708</v>
      </c>
      <c r="P6" s="1">
        <v>0.0</v>
      </c>
      <c r="Q6" s="1">
        <v>0.0462776659959758</v>
      </c>
      <c r="R6" s="1">
        <v>0.0462776659959758</v>
      </c>
      <c r="S6" s="1">
        <v>0.0</v>
      </c>
      <c r="T6" s="1">
        <v>0.0191773999501963</v>
      </c>
      <c r="U6" s="1">
        <v>0.0</v>
      </c>
      <c r="V6" s="1">
        <v>308.0</v>
      </c>
      <c r="W6" s="1">
        <v>308.0</v>
      </c>
      <c r="X6" s="1">
        <v>0.0</v>
      </c>
      <c r="Y6" s="1">
        <v>0.0</v>
      </c>
      <c r="Z6" s="1">
        <v>0.0</v>
      </c>
      <c r="AA6" s="1">
        <v>0.0</v>
      </c>
      <c r="AB6" s="1">
        <v>4.0</v>
      </c>
      <c r="AC6" s="1">
        <v>4.0</v>
      </c>
      <c r="AD6" s="1">
        <v>0.0</v>
      </c>
      <c r="AE6" s="1">
        <v>10.0</v>
      </c>
      <c r="AF6" s="1">
        <v>10.0</v>
      </c>
      <c r="AG6" s="1">
        <v>0.0</v>
      </c>
      <c r="AH6" s="1">
        <v>6958.0</v>
      </c>
      <c r="AI6" s="1">
        <v>6958.0</v>
      </c>
      <c r="AJ6" s="1">
        <v>0.0</v>
      </c>
      <c r="AK6" s="1">
        <v>333309.0</v>
      </c>
      <c r="AN6" s="1">
        <v>0.0</v>
      </c>
      <c r="AQ6" s="1">
        <v>0.0</v>
      </c>
      <c r="AS6" s="1">
        <v>0.0</v>
      </c>
      <c r="AW6" s="1">
        <v>0.0</v>
      </c>
      <c r="AX6" s="1">
        <v>1.0</v>
      </c>
      <c r="AY6" s="1">
        <v>48.0</v>
      </c>
      <c r="AZ6" s="1">
        <v>1.0</v>
      </c>
      <c r="BA6" s="1">
        <v>1.0</v>
      </c>
      <c r="BB6" s="1">
        <v>0.0</v>
      </c>
      <c r="BC6" s="1">
        <v>308.0</v>
      </c>
      <c r="BD6" s="1">
        <v>308.0</v>
      </c>
      <c r="BE6" s="1">
        <v>0.0</v>
      </c>
      <c r="BF6" s="1">
        <v>0.0481852315394242</v>
      </c>
      <c r="BG6" s="1">
        <v>0.0</v>
      </c>
      <c r="BH6" s="1">
        <v>0.0442655935613682</v>
      </c>
      <c r="BI6" s="1">
        <v>0.0442655935613682</v>
      </c>
      <c r="BJ6" s="1">
        <v>0.0</v>
      </c>
      <c r="BK6" s="1">
        <v>9.66070523148189E-4</v>
      </c>
      <c r="BL6" s="1">
        <v>0.0</v>
      </c>
      <c r="BM6" s="1">
        <v>0.0</v>
      </c>
    </row>
    <row r="7">
      <c r="A7" s="1" t="s">
        <v>65</v>
      </c>
      <c r="B7" s="3">
        <v>45359.55658564815</v>
      </c>
      <c r="C7" s="3">
        <v>45385.4653587963</v>
      </c>
      <c r="D7" s="3">
        <v>45385.42460648148</v>
      </c>
      <c r="E7" s="1" t="s">
        <v>84</v>
      </c>
      <c r="F7" s="4" t="s">
        <v>85</v>
      </c>
      <c r="G7" s="4" t="s">
        <v>86</v>
      </c>
      <c r="H7" s="1">
        <v>0.0</v>
      </c>
      <c r="I7" s="1" t="s">
        <v>69</v>
      </c>
      <c r="J7" s="1">
        <v>14242.0</v>
      </c>
      <c r="K7" s="1">
        <v>0.0</v>
      </c>
      <c r="L7" s="1">
        <v>967.0</v>
      </c>
      <c r="M7" s="1">
        <v>967.0</v>
      </c>
      <c r="N7" s="1">
        <v>0.0</v>
      </c>
      <c r="O7" s="2">
        <v>0.0678977671675326</v>
      </c>
      <c r="P7" s="1">
        <v>0.0</v>
      </c>
      <c r="Q7" s="1">
        <v>0.0549182189913675</v>
      </c>
      <c r="R7" s="1">
        <v>0.0549182189913675</v>
      </c>
      <c r="S7" s="1">
        <v>0.0</v>
      </c>
      <c r="T7" s="1">
        <v>0.0427291192257034</v>
      </c>
      <c r="U7" s="1">
        <v>0.0</v>
      </c>
      <c r="V7" s="1">
        <v>877.0</v>
      </c>
      <c r="W7" s="1">
        <v>877.0</v>
      </c>
      <c r="X7" s="1">
        <v>0.0</v>
      </c>
      <c r="Y7" s="1">
        <v>2.0</v>
      </c>
      <c r="Z7" s="1">
        <v>2.0</v>
      </c>
      <c r="AA7" s="1">
        <v>0.0</v>
      </c>
      <c r="AB7" s="1">
        <v>23.0</v>
      </c>
      <c r="AC7" s="1">
        <v>23.0</v>
      </c>
      <c r="AD7" s="1">
        <v>0.0</v>
      </c>
      <c r="AG7" s="1">
        <v>0.0</v>
      </c>
      <c r="AH7" s="1">
        <v>17608.0</v>
      </c>
      <c r="AI7" s="1">
        <v>17608.0</v>
      </c>
      <c r="AJ7" s="1">
        <v>0.0</v>
      </c>
      <c r="AK7" s="1">
        <v>333309.0</v>
      </c>
      <c r="AL7" s="1">
        <v>5531.0</v>
      </c>
      <c r="AM7" s="1">
        <v>5531.0</v>
      </c>
      <c r="AN7" s="1">
        <v>0.0</v>
      </c>
      <c r="AO7" s="1">
        <v>0.314118582462517</v>
      </c>
      <c r="AP7" s="1">
        <v>0.314118582462517</v>
      </c>
      <c r="AQ7" s="1">
        <v>0.0</v>
      </c>
      <c r="AR7" s="1">
        <v>0.388358376632495</v>
      </c>
      <c r="AS7" s="1">
        <v>0.0</v>
      </c>
      <c r="AT7" s="1">
        <v>5.0</v>
      </c>
      <c r="AU7" s="1">
        <v>2.0</v>
      </c>
      <c r="AV7" s="1">
        <v>3.0</v>
      </c>
      <c r="AW7" s="1">
        <v>0.0</v>
      </c>
      <c r="BC7" s="1">
        <v>879.0</v>
      </c>
      <c r="BD7" s="1">
        <v>879.0</v>
      </c>
      <c r="BE7" s="1">
        <v>0.0</v>
      </c>
      <c r="BF7" s="1">
        <v>0.0617188597107147</v>
      </c>
      <c r="BG7" s="1">
        <v>0.0</v>
      </c>
      <c r="BH7" s="1">
        <v>0.0499204906860518</v>
      </c>
      <c r="BI7" s="1">
        <v>0.0499204906860518</v>
      </c>
      <c r="BJ7" s="1">
        <v>0.0</v>
      </c>
      <c r="BK7" s="1">
        <v>0.00290121178846055</v>
      </c>
      <c r="BL7" s="1">
        <v>0.0</v>
      </c>
      <c r="BM7" s="1">
        <v>0.0</v>
      </c>
    </row>
    <row r="8">
      <c r="A8" s="1" t="s">
        <v>65</v>
      </c>
      <c r="B8" s="3">
        <v>45369.7084837963</v>
      </c>
      <c r="C8" s="3">
        <v>45385.4653587963</v>
      </c>
      <c r="D8" s="3">
        <v>45385.42460648148</v>
      </c>
      <c r="E8" s="1" t="s">
        <v>87</v>
      </c>
      <c r="F8" s="4" t="s">
        <v>88</v>
      </c>
      <c r="G8" s="4" t="s">
        <v>89</v>
      </c>
      <c r="H8" s="1">
        <v>0.0</v>
      </c>
      <c r="I8" s="1" t="s">
        <v>69</v>
      </c>
      <c r="J8" s="1">
        <v>6429.0</v>
      </c>
      <c r="K8" s="1">
        <v>0.0</v>
      </c>
      <c r="L8" s="1">
        <v>385.0</v>
      </c>
      <c r="M8" s="1">
        <v>385.0</v>
      </c>
      <c r="N8" s="1">
        <v>0.0</v>
      </c>
      <c r="O8" s="2">
        <v>0.0598848965624513</v>
      </c>
      <c r="P8" s="1">
        <v>0.0</v>
      </c>
      <c r="Q8" s="1">
        <v>0.0489386042964281</v>
      </c>
      <c r="R8" s="1">
        <v>0.0489386042964281</v>
      </c>
      <c r="S8" s="1">
        <v>0.0</v>
      </c>
      <c r="T8" s="1">
        <v>0.0192683482389047</v>
      </c>
      <c r="U8" s="1">
        <v>0.0</v>
      </c>
      <c r="V8" s="1">
        <v>359.0</v>
      </c>
      <c r="W8" s="1">
        <v>359.0</v>
      </c>
      <c r="X8" s="1">
        <v>0.0</v>
      </c>
      <c r="Y8" s="1">
        <v>5.0</v>
      </c>
      <c r="Z8" s="1">
        <v>5.0</v>
      </c>
      <c r="AA8" s="1">
        <v>0.0</v>
      </c>
      <c r="AB8" s="1">
        <v>8.0</v>
      </c>
      <c r="AC8" s="1">
        <v>8.0</v>
      </c>
      <c r="AD8" s="1">
        <v>0.0</v>
      </c>
      <c r="AG8" s="1">
        <v>0.0</v>
      </c>
      <c r="AH8" s="1">
        <v>7867.0</v>
      </c>
      <c r="AI8" s="1">
        <v>7867.0</v>
      </c>
      <c r="AJ8" s="1">
        <v>0.0</v>
      </c>
      <c r="AK8" s="1">
        <v>333656.0</v>
      </c>
      <c r="AN8" s="1">
        <v>0.0</v>
      </c>
      <c r="AQ8" s="1">
        <v>0.0</v>
      </c>
      <c r="AS8" s="1">
        <v>0.0</v>
      </c>
      <c r="AT8" s="1">
        <v>3.0</v>
      </c>
      <c r="AU8" s="1">
        <v>3.0</v>
      </c>
      <c r="AV8" s="1">
        <v>0.0</v>
      </c>
      <c r="AW8" s="1">
        <v>0.0</v>
      </c>
      <c r="BC8" s="1">
        <v>364.0</v>
      </c>
      <c r="BD8" s="1">
        <v>364.0</v>
      </c>
      <c r="BE8" s="1">
        <v>0.0</v>
      </c>
      <c r="BF8" s="1">
        <v>0.0566184476590449</v>
      </c>
      <c r="BG8" s="1">
        <v>0.0</v>
      </c>
      <c r="BH8" s="1">
        <v>0.0462692258802593</v>
      </c>
      <c r="BI8" s="1">
        <v>0.0462692258802593</v>
      </c>
      <c r="BJ8" s="1">
        <v>0.0</v>
      </c>
      <c r="BK8" s="1">
        <v>0.0011538830412161</v>
      </c>
      <c r="BL8" s="1">
        <v>0.0</v>
      </c>
      <c r="BM8" s="1">
        <v>0.0</v>
      </c>
    </row>
    <row r="9">
      <c r="A9" s="1" t="s">
        <v>65</v>
      </c>
      <c r="B9" s="3">
        <v>45378.522569444445</v>
      </c>
      <c r="C9" s="3">
        <v>45385.4653587963</v>
      </c>
      <c r="D9" s="3">
        <v>45385.42460648148</v>
      </c>
      <c r="E9" s="1" t="s">
        <v>90</v>
      </c>
      <c r="F9" s="4" t="s">
        <v>91</v>
      </c>
      <c r="G9" s="4" t="s">
        <v>92</v>
      </c>
      <c r="H9" s="1">
        <v>0.0</v>
      </c>
      <c r="I9" s="1" t="s">
        <v>69</v>
      </c>
      <c r="J9" s="1">
        <v>6857.0</v>
      </c>
      <c r="K9" s="1">
        <v>0.0</v>
      </c>
      <c r="L9" s="1">
        <v>588.0</v>
      </c>
      <c r="M9" s="1">
        <v>588.0</v>
      </c>
      <c r="N9" s="1">
        <v>0.0</v>
      </c>
      <c r="O9" s="2">
        <v>0.0857517864955519</v>
      </c>
      <c r="P9" s="1">
        <v>0.0</v>
      </c>
      <c r="Q9" s="1">
        <v>0.0713419073040524</v>
      </c>
      <c r="R9" s="1">
        <v>0.0713419073040524</v>
      </c>
      <c r="S9" s="1">
        <v>0.0</v>
      </c>
      <c r="T9" s="1">
        <v>0.0205333828426322</v>
      </c>
      <c r="U9" s="1">
        <v>0.0</v>
      </c>
      <c r="V9" s="1">
        <v>536.0</v>
      </c>
      <c r="W9" s="1">
        <v>536.0</v>
      </c>
      <c r="X9" s="1">
        <v>0.0</v>
      </c>
      <c r="Y9" s="1">
        <v>4.0</v>
      </c>
      <c r="Z9" s="1">
        <v>4.0</v>
      </c>
      <c r="AA9" s="1">
        <v>0.0</v>
      </c>
      <c r="AB9" s="1">
        <v>18.0</v>
      </c>
      <c r="AC9" s="1">
        <v>18.0</v>
      </c>
      <c r="AD9" s="1">
        <v>0.0</v>
      </c>
      <c r="AG9" s="1">
        <v>0.0</v>
      </c>
      <c r="AH9" s="1">
        <v>8242.0</v>
      </c>
      <c r="AI9" s="1">
        <v>8242.0</v>
      </c>
      <c r="AJ9" s="1">
        <v>0.0</v>
      </c>
      <c r="AK9" s="1">
        <v>333944.0</v>
      </c>
      <c r="AN9" s="1">
        <v>0.0</v>
      </c>
      <c r="AQ9" s="1">
        <v>0.0</v>
      </c>
      <c r="AS9" s="1">
        <v>0.0</v>
      </c>
      <c r="AT9" s="1">
        <v>7.0</v>
      </c>
      <c r="AU9" s="1">
        <v>7.0</v>
      </c>
      <c r="AV9" s="1">
        <v>0.0</v>
      </c>
      <c r="AW9" s="1">
        <v>0.0</v>
      </c>
      <c r="BC9" s="1">
        <v>540.0</v>
      </c>
      <c r="BD9" s="1">
        <v>540.0</v>
      </c>
      <c r="BE9" s="1">
        <v>0.0</v>
      </c>
      <c r="BF9" s="1">
        <v>0.0787516406591804</v>
      </c>
      <c r="BG9" s="1">
        <v>0.0</v>
      </c>
      <c r="BH9" s="1">
        <v>0.0655180781363746</v>
      </c>
      <c r="BI9" s="1">
        <v>0.0655180781363746</v>
      </c>
      <c r="BJ9" s="1">
        <v>0.0</v>
      </c>
      <c r="BK9" s="1">
        <v>0.00176077426155283</v>
      </c>
      <c r="BL9" s="1">
        <v>0.0</v>
      </c>
      <c r="BM9" s="1">
        <v>0.0</v>
      </c>
    </row>
    <row r="10">
      <c r="A10" s="1" t="s">
        <v>65</v>
      </c>
      <c r="B10" s="3">
        <v>45352.417175925926</v>
      </c>
      <c r="C10" s="3">
        <v>45385.4653587963</v>
      </c>
      <c r="D10" s="3">
        <v>45385.42460648148</v>
      </c>
      <c r="E10" s="1" t="s">
        <v>93</v>
      </c>
      <c r="F10" s="4" t="s">
        <v>94</v>
      </c>
      <c r="G10" s="4" t="s">
        <v>95</v>
      </c>
      <c r="H10" s="1">
        <v>0.0</v>
      </c>
      <c r="I10" s="1" t="s">
        <v>73</v>
      </c>
      <c r="J10" s="1">
        <v>5466.0</v>
      </c>
      <c r="K10" s="1">
        <v>0.0</v>
      </c>
      <c r="L10" s="1">
        <v>200.0</v>
      </c>
      <c r="M10" s="1">
        <v>200.0</v>
      </c>
      <c r="N10" s="1">
        <v>0.0</v>
      </c>
      <c r="O10" s="2">
        <v>0.0365898280278082</v>
      </c>
      <c r="P10" s="1">
        <v>0.0</v>
      </c>
      <c r="Q10" s="1">
        <v>0.0373273609555804</v>
      </c>
      <c r="R10" s="1">
        <v>0.0373273609555804</v>
      </c>
      <c r="S10" s="1">
        <v>0.0</v>
      </c>
      <c r="T10" s="1">
        <v>0.0163991971413913</v>
      </c>
      <c r="U10" s="1">
        <v>0.0</v>
      </c>
      <c r="V10" s="1">
        <v>173.0</v>
      </c>
      <c r="W10" s="1">
        <v>173.0</v>
      </c>
      <c r="X10" s="1">
        <v>0.0</v>
      </c>
      <c r="Y10" s="1">
        <v>1.0</v>
      </c>
      <c r="Z10" s="1">
        <v>1.0</v>
      </c>
      <c r="AA10" s="1">
        <v>0.0</v>
      </c>
      <c r="AB10" s="1">
        <v>11.0</v>
      </c>
      <c r="AC10" s="1">
        <v>11.0</v>
      </c>
      <c r="AD10" s="1">
        <v>0.0</v>
      </c>
      <c r="AE10" s="1">
        <v>15.0</v>
      </c>
      <c r="AF10" s="1">
        <v>15.0</v>
      </c>
      <c r="AG10" s="1">
        <v>0.0</v>
      </c>
      <c r="AH10" s="1">
        <v>5358.0</v>
      </c>
      <c r="AI10" s="1">
        <v>5358.0</v>
      </c>
      <c r="AJ10" s="1">
        <v>0.0</v>
      </c>
      <c r="AK10" s="1">
        <v>333309.0</v>
      </c>
      <c r="AL10" s="1">
        <v>5358.0</v>
      </c>
      <c r="AM10" s="1">
        <v>5358.0</v>
      </c>
      <c r="AN10" s="1">
        <v>0.0</v>
      </c>
      <c r="AO10" s="1">
        <v>1.0</v>
      </c>
      <c r="AP10" s="1">
        <v>1.0</v>
      </c>
      <c r="AQ10" s="1">
        <v>0.0</v>
      </c>
      <c r="AR10" s="1">
        <v>0.980241492864983</v>
      </c>
      <c r="AS10" s="1">
        <v>0.0</v>
      </c>
      <c r="AW10" s="1">
        <v>0.0</v>
      </c>
      <c r="BC10" s="1">
        <v>174.0</v>
      </c>
      <c r="BD10" s="1">
        <v>174.0</v>
      </c>
      <c r="BE10" s="1">
        <v>0.0</v>
      </c>
      <c r="BF10" s="1">
        <v>0.0318331503841931</v>
      </c>
      <c r="BG10" s="1">
        <v>0.0</v>
      </c>
      <c r="BH10" s="1">
        <v>0.0324748040313549</v>
      </c>
      <c r="BI10" s="1">
        <v>0.0324748040313549</v>
      </c>
      <c r="BJ10" s="1">
        <v>0.0</v>
      </c>
      <c r="BK10" s="1">
        <v>6.00043803197633E-4</v>
      </c>
      <c r="BL10" s="1">
        <v>0.0</v>
      </c>
      <c r="BM10" s="1">
        <v>0.0</v>
      </c>
    </row>
    <row r="11">
      <c r="A11" s="1" t="s">
        <v>65</v>
      </c>
      <c r="B11" s="3">
        <v>45374.51116898148</v>
      </c>
      <c r="C11" s="3">
        <v>45385.4653587963</v>
      </c>
      <c r="D11" s="3">
        <v>45385.42460648148</v>
      </c>
      <c r="E11" s="1" t="s">
        <v>96</v>
      </c>
      <c r="F11" s="4" t="s">
        <v>97</v>
      </c>
      <c r="G11" s="4" t="s">
        <v>98</v>
      </c>
      <c r="H11" s="1">
        <v>0.0</v>
      </c>
      <c r="I11" s="1" t="s">
        <v>69</v>
      </c>
      <c r="J11" s="1">
        <v>10695.0</v>
      </c>
      <c r="K11" s="1">
        <v>0.0</v>
      </c>
      <c r="L11" s="1">
        <v>892.0</v>
      </c>
      <c r="M11" s="1">
        <v>892.0</v>
      </c>
      <c r="N11" s="1">
        <v>0.0</v>
      </c>
      <c r="O11" s="2">
        <v>0.0834034595605423</v>
      </c>
      <c r="P11" s="1">
        <v>0.0</v>
      </c>
      <c r="Q11" s="1">
        <v>0.0698676274770893</v>
      </c>
      <c r="R11" s="1">
        <v>0.0698676274770893</v>
      </c>
      <c r="S11" s="1">
        <v>0.0</v>
      </c>
      <c r="T11" s="1">
        <v>0.0320539717553408</v>
      </c>
      <c r="U11" s="1">
        <v>0.0</v>
      </c>
      <c r="V11" s="1">
        <v>823.0</v>
      </c>
      <c r="W11" s="1">
        <v>823.0</v>
      </c>
      <c r="X11" s="1">
        <v>0.0</v>
      </c>
      <c r="Y11" s="1">
        <v>7.0</v>
      </c>
      <c r="Z11" s="1">
        <v>7.0</v>
      </c>
      <c r="AA11" s="1">
        <v>0.0</v>
      </c>
      <c r="AB11" s="1">
        <v>35.0</v>
      </c>
      <c r="AC11" s="1">
        <v>35.0</v>
      </c>
      <c r="AD11" s="1">
        <v>0.0</v>
      </c>
      <c r="AG11" s="1">
        <v>0.0</v>
      </c>
      <c r="AH11" s="1">
        <v>12767.0</v>
      </c>
      <c r="AI11" s="1">
        <v>12767.0</v>
      </c>
      <c r="AJ11" s="1">
        <v>0.0</v>
      </c>
      <c r="AK11" s="1">
        <v>333656.0</v>
      </c>
      <c r="AN11" s="1">
        <v>0.0</v>
      </c>
      <c r="AQ11" s="1">
        <v>0.0</v>
      </c>
      <c r="AS11" s="1">
        <v>0.0</v>
      </c>
      <c r="AT11" s="1">
        <v>4.0</v>
      </c>
      <c r="AU11" s="1">
        <v>4.0</v>
      </c>
      <c r="AV11" s="1">
        <v>0.0</v>
      </c>
      <c r="AW11" s="1">
        <v>0.0</v>
      </c>
      <c r="BC11" s="1">
        <v>830.0</v>
      </c>
      <c r="BD11" s="1">
        <v>830.0</v>
      </c>
      <c r="BE11" s="1">
        <v>0.0</v>
      </c>
      <c r="BF11" s="1">
        <v>0.0776063581112669</v>
      </c>
      <c r="BG11" s="1">
        <v>0.0</v>
      </c>
      <c r="BH11" s="1">
        <v>0.0650113574058118</v>
      </c>
      <c r="BI11" s="1">
        <v>0.0650113574058118</v>
      </c>
      <c r="BJ11" s="1">
        <v>0.0</v>
      </c>
      <c r="BK11" s="1">
        <v>0.00267341213705133</v>
      </c>
      <c r="BL11" s="1">
        <v>0.0</v>
      </c>
      <c r="BM11" s="1">
        <v>0.0</v>
      </c>
    </row>
    <row r="12">
      <c r="A12" s="1" t="s">
        <v>65</v>
      </c>
      <c r="B12" s="3">
        <v>45364.84638888889</v>
      </c>
      <c r="C12" s="3">
        <v>45385.4653587963</v>
      </c>
      <c r="D12" s="3">
        <v>45385.42460648148</v>
      </c>
      <c r="E12" s="1" t="s">
        <v>99</v>
      </c>
      <c r="F12" s="4" t="s">
        <v>100</v>
      </c>
      <c r="G12" s="4" t="s">
        <v>101</v>
      </c>
      <c r="H12" s="1">
        <v>0.0</v>
      </c>
      <c r="I12" s="1" t="s">
        <v>69</v>
      </c>
      <c r="J12" s="1">
        <v>6211.0</v>
      </c>
      <c r="K12" s="1">
        <v>0.0</v>
      </c>
      <c r="L12" s="1">
        <v>342.0</v>
      </c>
      <c r="M12" s="1">
        <v>342.0</v>
      </c>
      <c r="N12" s="1">
        <v>0.0</v>
      </c>
      <c r="O12" s="2">
        <v>0.0550635968443084</v>
      </c>
      <c r="P12" s="1">
        <v>0.0</v>
      </c>
      <c r="Q12" s="1">
        <v>0.0450830477194832</v>
      </c>
      <c r="R12" s="1">
        <v>0.0450830477194832</v>
      </c>
      <c r="S12" s="1">
        <v>0.0</v>
      </c>
      <c r="T12" s="1">
        <v>0.0186343603083025</v>
      </c>
      <c r="U12" s="1">
        <v>0.0</v>
      </c>
      <c r="V12" s="1">
        <v>324.0</v>
      </c>
      <c r="W12" s="1">
        <v>324.0</v>
      </c>
      <c r="X12" s="1">
        <v>0.0</v>
      </c>
      <c r="Y12" s="1">
        <v>0.0</v>
      </c>
      <c r="Z12" s="1">
        <v>0.0</v>
      </c>
      <c r="AA12" s="1">
        <v>0.0</v>
      </c>
      <c r="AB12" s="1">
        <v>7.0</v>
      </c>
      <c r="AC12" s="1">
        <v>7.0</v>
      </c>
      <c r="AD12" s="1">
        <v>0.0</v>
      </c>
      <c r="AG12" s="1">
        <v>0.0</v>
      </c>
      <c r="AH12" s="1">
        <v>7586.0</v>
      </c>
      <c r="AI12" s="1">
        <v>7586.0</v>
      </c>
      <c r="AJ12" s="1">
        <v>0.0</v>
      </c>
      <c r="AK12" s="1">
        <v>333309.0</v>
      </c>
      <c r="AN12" s="1">
        <v>0.0</v>
      </c>
      <c r="AQ12" s="1">
        <v>0.0</v>
      </c>
      <c r="AS12" s="1">
        <v>0.0</v>
      </c>
      <c r="AT12" s="1">
        <v>3.0</v>
      </c>
      <c r="AU12" s="1">
        <v>3.0</v>
      </c>
      <c r="AV12" s="1">
        <v>0.0</v>
      </c>
      <c r="AW12" s="1">
        <v>0.0</v>
      </c>
      <c r="BC12" s="1">
        <v>324.0</v>
      </c>
      <c r="BD12" s="1">
        <v>324.0</v>
      </c>
      <c r="BE12" s="1">
        <v>0.0</v>
      </c>
      <c r="BF12" s="1">
        <v>0.0521655127998711</v>
      </c>
      <c r="BG12" s="1">
        <v>0.0</v>
      </c>
      <c r="BH12" s="1">
        <v>0.0427102557342473</v>
      </c>
      <c r="BI12" s="1">
        <v>0.0427102557342473</v>
      </c>
      <c r="BJ12" s="1">
        <v>0.0</v>
      </c>
      <c r="BK12" s="1">
        <v>0.00102607490346795</v>
      </c>
      <c r="BL12" s="1">
        <v>0.0</v>
      </c>
      <c r="BM12" s="1">
        <v>0.0</v>
      </c>
    </row>
    <row r="13">
      <c r="A13" s="1" t="s">
        <v>65</v>
      </c>
      <c r="B13" s="3">
        <v>45373.630590277775</v>
      </c>
      <c r="C13" s="3">
        <v>45385.4653587963</v>
      </c>
      <c r="D13" s="3">
        <v>45385.42460648148</v>
      </c>
      <c r="E13" s="1" t="s">
        <v>102</v>
      </c>
      <c r="F13" s="4" t="s">
        <v>103</v>
      </c>
      <c r="G13" s="4" t="s">
        <v>104</v>
      </c>
      <c r="H13" s="1">
        <v>0.0</v>
      </c>
      <c r="I13" s="1" t="s">
        <v>73</v>
      </c>
      <c r="J13" s="1">
        <v>4694.0</v>
      </c>
      <c r="K13" s="1">
        <v>0.0</v>
      </c>
      <c r="L13" s="1">
        <v>221.0</v>
      </c>
      <c r="M13" s="1">
        <v>221.0</v>
      </c>
      <c r="N13" s="1">
        <v>0.0</v>
      </c>
      <c r="O13" s="2">
        <v>0.0470813804857264</v>
      </c>
      <c r="P13" s="1">
        <v>0.0</v>
      </c>
      <c r="Q13" s="1">
        <v>0.0443953394937726</v>
      </c>
      <c r="R13" s="1">
        <v>0.0443953394937726</v>
      </c>
      <c r="S13" s="1">
        <v>0.0</v>
      </c>
      <c r="T13" s="1">
        <v>0.0140683818064113</v>
      </c>
      <c r="U13" s="1">
        <v>0.0</v>
      </c>
      <c r="V13" s="1">
        <v>184.0</v>
      </c>
      <c r="W13" s="1">
        <v>184.0</v>
      </c>
      <c r="X13" s="1">
        <v>0.0</v>
      </c>
      <c r="Y13" s="1">
        <v>8.0</v>
      </c>
      <c r="Z13" s="1">
        <v>8.0</v>
      </c>
      <c r="AA13" s="1">
        <v>0.0</v>
      </c>
      <c r="AB13" s="1">
        <v>6.0</v>
      </c>
      <c r="AC13" s="1">
        <v>6.0</v>
      </c>
      <c r="AD13" s="1">
        <v>0.0</v>
      </c>
      <c r="AE13" s="1">
        <v>23.0</v>
      </c>
      <c r="AF13" s="1">
        <v>23.0</v>
      </c>
      <c r="AG13" s="1">
        <v>0.0</v>
      </c>
      <c r="AH13" s="1">
        <v>4978.0</v>
      </c>
      <c r="AI13" s="1">
        <v>4978.0</v>
      </c>
      <c r="AJ13" s="1">
        <v>0.0</v>
      </c>
      <c r="AK13" s="1">
        <v>333656.0</v>
      </c>
      <c r="AL13" s="1">
        <v>4978.0</v>
      </c>
      <c r="AM13" s="1">
        <v>4978.0</v>
      </c>
      <c r="AN13" s="1">
        <v>0.0</v>
      </c>
      <c r="AO13" s="1">
        <v>1.0</v>
      </c>
      <c r="AP13" s="1">
        <v>1.0</v>
      </c>
      <c r="AQ13" s="1">
        <v>0.0</v>
      </c>
      <c r="AR13" s="1">
        <v>1.06050276949296</v>
      </c>
      <c r="AS13" s="1">
        <v>0.0</v>
      </c>
      <c r="AW13" s="1">
        <v>0.0</v>
      </c>
      <c r="BC13" s="1">
        <v>192.0</v>
      </c>
      <c r="BD13" s="1">
        <v>192.0</v>
      </c>
      <c r="BE13" s="1">
        <v>0.0</v>
      </c>
      <c r="BF13" s="1">
        <v>0.0409032807839795</v>
      </c>
      <c r="BG13" s="1">
        <v>0.0</v>
      </c>
      <c r="BH13" s="1">
        <v>0.0385697067095218</v>
      </c>
      <c r="BI13" s="1">
        <v>0.0385697067095218</v>
      </c>
      <c r="BJ13" s="1">
        <v>0.0</v>
      </c>
      <c r="BK13" s="1">
        <v>6.62358836646126E-4</v>
      </c>
      <c r="BL13" s="1">
        <v>0.0</v>
      </c>
      <c r="BM13" s="1">
        <v>0.0</v>
      </c>
    </row>
    <row r="14">
      <c r="A14" s="1" t="s">
        <v>65</v>
      </c>
      <c r="B14" s="3">
        <v>45377.786886574075</v>
      </c>
      <c r="C14" s="3">
        <v>45385.4653587963</v>
      </c>
      <c r="D14" s="3">
        <v>45385.42460648148</v>
      </c>
      <c r="E14" s="1" t="s">
        <v>105</v>
      </c>
      <c r="F14" s="4" t="s">
        <v>106</v>
      </c>
      <c r="G14" s="4" t="s">
        <v>107</v>
      </c>
      <c r="H14" s="1">
        <v>0.0</v>
      </c>
      <c r="I14" s="1" t="s">
        <v>80</v>
      </c>
      <c r="J14" s="1">
        <v>15457.0</v>
      </c>
      <c r="K14" s="1">
        <v>0.0</v>
      </c>
      <c r="L14" s="1">
        <v>992.0</v>
      </c>
      <c r="M14" s="1">
        <v>992.0</v>
      </c>
      <c r="N14" s="1">
        <v>0.0</v>
      </c>
      <c r="O14" s="2">
        <v>0.0641780423109271</v>
      </c>
      <c r="P14" s="1">
        <v>0.0</v>
      </c>
      <c r="Q14" s="1">
        <v>0.059665584025021</v>
      </c>
      <c r="R14" s="1">
        <v>0.059665584025021</v>
      </c>
      <c r="S14" s="1">
        <v>0.0</v>
      </c>
      <c r="T14" s="1">
        <v>0.0462862036748676</v>
      </c>
      <c r="U14" s="1">
        <v>0.0</v>
      </c>
      <c r="V14" s="1">
        <v>807.0</v>
      </c>
      <c r="W14" s="1">
        <v>807.0</v>
      </c>
      <c r="X14" s="1">
        <v>0.0</v>
      </c>
      <c r="Y14" s="1">
        <v>5.0</v>
      </c>
      <c r="Z14" s="1">
        <v>5.0</v>
      </c>
      <c r="AA14" s="1">
        <v>0.0</v>
      </c>
      <c r="AB14" s="1">
        <v>33.0</v>
      </c>
      <c r="AC14" s="1">
        <v>33.0</v>
      </c>
      <c r="AD14" s="1">
        <v>0.0</v>
      </c>
      <c r="AE14" s="1">
        <v>147.0</v>
      </c>
      <c r="AF14" s="1">
        <v>147.0</v>
      </c>
      <c r="AG14" s="1">
        <v>0.0</v>
      </c>
      <c r="AH14" s="1">
        <v>16626.0</v>
      </c>
      <c r="AI14" s="1">
        <v>16626.0</v>
      </c>
      <c r="AJ14" s="1">
        <v>0.0</v>
      </c>
      <c r="AK14" s="1">
        <v>333944.0</v>
      </c>
      <c r="AN14" s="1">
        <v>0.0</v>
      </c>
      <c r="AQ14" s="1">
        <v>0.0</v>
      </c>
      <c r="AS14" s="1">
        <v>0.0</v>
      </c>
      <c r="AW14" s="1">
        <v>0.0</v>
      </c>
      <c r="AX14" s="1">
        <v>17.0</v>
      </c>
      <c r="AY14" s="1">
        <v>286.0</v>
      </c>
      <c r="AZ14" s="1">
        <v>3.0</v>
      </c>
      <c r="BA14" s="1">
        <v>3.0</v>
      </c>
      <c r="BB14" s="1">
        <v>0.0</v>
      </c>
      <c r="BC14" s="1">
        <v>812.0</v>
      </c>
      <c r="BD14" s="1">
        <v>812.0</v>
      </c>
      <c r="BE14" s="1">
        <v>0.0</v>
      </c>
      <c r="BF14" s="1">
        <v>0.0525328330206379</v>
      </c>
      <c r="BG14" s="1">
        <v>0.0</v>
      </c>
      <c r="BH14" s="1">
        <v>0.048839167568868</v>
      </c>
      <c r="BI14" s="1">
        <v>0.048839167568868</v>
      </c>
      <c r="BJ14" s="1">
        <v>0.0</v>
      </c>
      <c r="BK14" s="1">
        <v>0.00297055793785784</v>
      </c>
      <c r="BL14" s="1">
        <v>0.0</v>
      </c>
      <c r="BM14" s="1">
        <v>0.0</v>
      </c>
    </row>
    <row r="15">
      <c r="A15" s="1" t="s">
        <v>65</v>
      </c>
      <c r="B15" s="3">
        <v>45376.713472222225</v>
      </c>
      <c r="C15" s="3">
        <v>45385.4653587963</v>
      </c>
      <c r="D15" s="3">
        <v>45385.42460648148</v>
      </c>
      <c r="E15" s="1" t="s">
        <v>108</v>
      </c>
      <c r="F15" s="4" t="s">
        <v>109</v>
      </c>
      <c r="G15" s="4" t="s">
        <v>110</v>
      </c>
      <c r="H15" s="1">
        <v>0.0</v>
      </c>
      <c r="I15" s="1" t="s">
        <v>80</v>
      </c>
      <c r="J15" s="1">
        <v>7252.0</v>
      </c>
      <c r="K15" s="1">
        <v>0.0</v>
      </c>
      <c r="L15" s="1">
        <v>373.0</v>
      </c>
      <c r="M15" s="1">
        <v>373.0</v>
      </c>
      <c r="N15" s="1">
        <v>0.0</v>
      </c>
      <c r="O15" s="2">
        <v>0.0514340871483728</v>
      </c>
      <c r="P15" s="1">
        <v>0.0</v>
      </c>
      <c r="Q15" s="1">
        <v>0.0471614616259957</v>
      </c>
      <c r="R15" s="1">
        <v>0.0471614616259957</v>
      </c>
      <c r="S15" s="1">
        <v>0.0</v>
      </c>
      <c r="T15" s="1">
        <v>0.0217162158924849</v>
      </c>
      <c r="U15" s="1">
        <v>0.0</v>
      </c>
      <c r="V15" s="1">
        <v>338.0</v>
      </c>
      <c r="W15" s="1">
        <v>338.0</v>
      </c>
      <c r="X15" s="1">
        <v>0.0</v>
      </c>
      <c r="Y15" s="1">
        <v>5.0</v>
      </c>
      <c r="Z15" s="1">
        <v>5.0</v>
      </c>
      <c r="AA15" s="1">
        <v>0.0</v>
      </c>
      <c r="AB15" s="1">
        <v>6.0</v>
      </c>
      <c r="AC15" s="1">
        <v>6.0</v>
      </c>
      <c r="AD15" s="1">
        <v>0.0</v>
      </c>
      <c r="AE15" s="1">
        <v>24.0</v>
      </c>
      <c r="AF15" s="1">
        <v>24.0</v>
      </c>
      <c r="AG15" s="1">
        <v>0.0</v>
      </c>
      <c r="AH15" s="1">
        <v>7909.0</v>
      </c>
      <c r="AI15" s="1">
        <v>7909.0</v>
      </c>
      <c r="AJ15" s="1">
        <v>0.0</v>
      </c>
      <c r="AK15" s="1">
        <v>333944.0</v>
      </c>
      <c r="AN15" s="1">
        <v>0.0</v>
      </c>
      <c r="AQ15" s="1">
        <v>0.0</v>
      </c>
      <c r="AS15" s="1">
        <v>0.0</v>
      </c>
      <c r="AW15" s="1">
        <v>0.0</v>
      </c>
      <c r="AX15" s="1">
        <v>0.0</v>
      </c>
      <c r="AY15" s="1">
        <v>122.0</v>
      </c>
      <c r="AZ15" s="1">
        <v>0.0</v>
      </c>
      <c r="BA15" s="1">
        <v>0.0</v>
      </c>
      <c r="BB15" s="1">
        <v>0.0</v>
      </c>
      <c r="BC15" s="1">
        <v>343.0</v>
      </c>
      <c r="BD15" s="1">
        <v>343.0</v>
      </c>
      <c r="BE15" s="1">
        <v>0.0</v>
      </c>
      <c r="BF15" s="1">
        <v>0.0472972972972973</v>
      </c>
      <c r="BG15" s="1">
        <v>0.0</v>
      </c>
      <c r="BH15" s="1">
        <v>0.0433683145783284</v>
      </c>
      <c r="BI15" s="1">
        <v>0.0433683145783284</v>
      </c>
      <c r="BJ15" s="1">
        <v>0.0</v>
      </c>
      <c r="BK15" s="1">
        <v>0.00111695374074695</v>
      </c>
      <c r="BL15" s="1">
        <v>0.0</v>
      </c>
      <c r="BM15" s="1">
        <v>0.0</v>
      </c>
    </row>
    <row r="16">
      <c r="A16" s="1" t="s">
        <v>65</v>
      </c>
      <c r="B16" s="3">
        <v>45376.812627314815</v>
      </c>
      <c r="C16" s="3">
        <v>45385.4653587963</v>
      </c>
      <c r="D16" s="3">
        <v>45385.42460648148</v>
      </c>
      <c r="E16" s="1" t="s">
        <v>111</v>
      </c>
      <c r="F16" s="4" t="s">
        <v>112</v>
      </c>
      <c r="G16" s="4" t="s">
        <v>113</v>
      </c>
      <c r="H16" s="1">
        <v>0.0</v>
      </c>
      <c r="I16" s="1" t="s">
        <v>80</v>
      </c>
      <c r="J16" s="1">
        <v>6823.0</v>
      </c>
      <c r="K16" s="1">
        <v>0.0</v>
      </c>
      <c r="L16" s="1">
        <v>360.0</v>
      </c>
      <c r="M16" s="1">
        <v>360.0</v>
      </c>
      <c r="N16" s="1">
        <v>0.0</v>
      </c>
      <c r="O16" s="2">
        <v>0.052762714348527</v>
      </c>
      <c r="P16" s="1">
        <v>0.0</v>
      </c>
      <c r="Q16" s="1">
        <v>0.0480897675661234</v>
      </c>
      <c r="R16" s="1">
        <v>0.0480897675661234</v>
      </c>
      <c r="S16" s="1">
        <v>0.0</v>
      </c>
      <c r="T16" s="1">
        <v>0.0204315693649234</v>
      </c>
      <c r="U16" s="1">
        <v>0.0</v>
      </c>
      <c r="V16" s="1">
        <v>343.0</v>
      </c>
      <c r="W16" s="1">
        <v>343.0</v>
      </c>
      <c r="X16" s="1">
        <v>0.0</v>
      </c>
      <c r="Y16" s="1">
        <v>1.0</v>
      </c>
      <c r="Z16" s="1">
        <v>1.0</v>
      </c>
      <c r="AA16" s="1">
        <v>0.0</v>
      </c>
      <c r="AB16" s="1">
        <v>8.0</v>
      </c>
      <c r="AC16" s="1">
        <v>8.0</v>
      </c>
      <c r="AD16" s="1">
        <v>0.0</v>
      </c>
      <c r="AE16" s="1">
        <v>8.0</v>
      </c>
      <c r="AF16" s="1">
        <v>8.0</v>
      </c>
      <c r="AG16" s="1">
        <v>0.0</v>
      </c>
      <c r="AH16" s="1">
        <v>7486.0</v>
      </c>
      <c r="AI16" s="1">
        <v>7486.0</v>
      </c>
      <c r="AJ16" s="1">
        <v>0.0</v>
      </c>
      <c r="AK16" s="1">
        <v>333944.0</v>
      </c>
      <c r="AN16" s="1">
        <v>0.0</v>
      </c>
      <c r="AQ16" s="1">
        <v>0.0</v>
      </c>
      <c r="AS16" s="1">
        <v>0.0</v>
      </c>
      <c r="AW16" s="1">
        <v>0.0</v>
      </c>
      <c r="AX16" s="1">
        <v>1.0</v>
      </c>
      <c r="AY16" s="1">
        <v>98.0</v>
      </c>
      <c r="AZ16" s="1">
        <v>0.0</v>
      </c>
      <c r="BA16" s="1">
        <v>0.0</v>
      </c>
      <c r="BB16" s="1">
        <v>0.0</v>
      </c>
      <c r="BC16" s="1">
        <v>344.0</v>
      </c>
      <c r="BD16" s="1">
        <v>344.0</v>
      </c>
      <c r="BE16" s="1">
        <v>0.0</v>
      </c>
      <c r="BF16" s="1">
        <v>0.0504177048219258</v>
      </c>
      <c r="BG16" s="1">
        <v>0.0</v>
      </c>
      <c r="BH16" s="1">
        <v>0.0459524445631846</v>
      </c>
      <c r="BI16" s="1">
        <v>0.0459524445631846</v>
      </c>
      <c r="BJ16" s="1">
        <v>0.0</v>
      </c>
      <c r="BK16" s="1">
        <v>0.00107802505809357</v>
      </c>
      <c r="BL16" s="1">
        <v>0.0</v>
      </c>
      <c r="BM16" s="1">
        <v>0.0</v>
      </c>
    </row>
    <row r="17">
      <c r="A17" s="1" t="s">
        <v>65</v>
      </c>
      <c r="B17" s="3">
        <v>45376.76115740741</v>
      </c>
      <c r="C17" s="3">
        <v>45385.4653587963</v>
      </c>
      <c r="D17" s="3">
        <v>45385.42460648148</v>
      </c>
      <c r="E17" s="1" t="s">
        <v>114</v>
      </c>
      <c r="F17" s="4" t="s">
        <v>115</v>
      </c>
      <c r="G17" s="4" t="s">
        <v>116</v>
      </c>
      <c r="H17" s="1">
        <v>0.0</v>
      </c>
      <c r="I17" s="1" t="s">
        <v>73</v>
      </c>
      <c r="J17" s="1">
        <v>34423.0</v>
      </c>
      <c r="K17" s="1">
        <v>0.0</v>
      </c>
      <c r="L17" s="1">
        <v>682.0</v>
      </c>
      <c r="M17" s="1">
        <v>682.0</v>
      </c>
      <c r="N17" s="1">
        <v>0.0</v>
      </c>
      <c r="O17" s="2">
        <v>0.019812334776167</v>
      </c>
      <c r="P17" s="1">
        <v>0.0</v>
      </c>
      <c r="Q17" s="1">
        <v>0.019658144294238</v>
      </c>
      <c r="R17" s="1">
        <v>0.019658144294238</v>
      </c>
      <c r="S17" s="1">
        <v>0.0</v>
      </c>
      <c r="T17" s="1">
        <v>0.103080157152097</v>
      </c>
      <c r="U17" s="1">
        <v>0.0</v>
      </c>
      <c r="V17" s="1">
        <v>557.0</v>
      </c>
      <c r="W17" s="1">
        <v>557.0</v>
      </c>
      <c r="X17" s="1">
        <v>0.0</v>
      </c>
      <c r="Y17" s="1">
        <v>13.0</v>
      </c>
      <c r="Z17" s="1">
        <v>13.0</v>
      </c>
      <c r="AA17" s="1">
        <v>0.0</v>
      </c>
      <c r="AB17" s="1">
        <v>13.0</v>
      </c>
      <c r="AC17" s="1">
        <v>13.0</v>
      </c>
      <c r="AD17" s="1">
        <v>0.0</v>
      </c>
      <c r="AE17" s="1">
        <v>99.0</v>
      </c>
      <c r="AF17" s="1">
        <v>99.0</v>
      </c>
      <c r="AG17" s="1">
        <v>0.0</v>
      </c>
      <c r="AH17" s="1">
        <v>34693.0</v>
      </c>
      <c r="AI17" s="1">
        <v>34693.0</v>
      </c>
      <c r="AJ17" s="1">
        <v>0.0</v>
      </c>
      <c r="AK17" s="1">
        <v>333944.0</v>
      </c>
      <c r="AL17" s="1">
        <v>34693.0</v>
      </c>
      <c r="AM17" s="1">
        <v>34693.0</v>
      </c>
      <c r="AN17" s="1">
        <v>0.0</v>
      </c>
      <c r="AO17" s="1">
        <v>1.0</v>
      </c>
      <c r="AP17" s="1">
        <v>1.0</v>
      </c>
      <c r="AQ17" s="1">
        <v>0.0</v>
      </c>
      <c r="AR17" s="1">
        <v>1.00784359294657</v>
      </c>
      <c r="AS17" s="1">
        <v>0.0</v>
      </c>
      <c r="AW17" s="1">
        <v>0.0</v>
      </c>
      <c r="BC17" s="1">
        <v>570.0</v>
      </c>
      <c r="BD17" s="1">
        <v>570.0</v>
      </c>
      <c r="BE17" s="1">
        <v>0.0</v>
      </c>
      <c r="BF17" s="1">
        <v>0.0165586962205502</v>
      </c>
      <c r="BG17" s="1">
        <v>0.0</v>
      </c>
      <c r="BH17" s="1">
        <v>0.0164298273426916</v>
      </c>
      <c r="BI17" s="1">
        <v>0.0164298273426916</v>
      </c>
      <c r="BJ17" s="1">
        <v>0.0</v>
      </c>
      <c r="BK17" s="1">
        <v>0.00204225858227726</v>
      </c>
      <c r="BL17" s="1">
        <v>0.0</v>
      </c>
      <c r="BM17" s="1">
        <v>0.0</v>
      </c>
    </row>
    <row r="18">
      <c r="A18" s="1" t="s">
        <v>65</v>
      </c>
      <c r="B18" s="3">
        <v>45356.77119212963</v>
      </c>
      <c r="C18" s="3">
        <v>45385.4653587963</v>
      </c>
      <c r="D18" s="3">
        <v>45385.42460648148</v>
      </c>
      <c r="E18" s="1" t="s">
        <v>117</v>
      </c>
      <c r="F18" s="4" t="s">
        <v>118</v>
      </c>
      <c r="G18" s="4" t="s">
        <v>119</v>
      </c>
      <c r="H18" s="1">
        <v>0.0</v>
      </c>
      <c r="I18" s="1" t="s">
        <v>80</v>
      </c>
      <c r="J18" s="1">
        <v>8993.0</v>
      </c>
      <c r="K18" s="1">
        <v>0.0</v>
      </c>
      <c r="L18" s="1">
        <v>281.0</v>
      </c>
      <c r="M18" s="1">
        <v>281.0</v>
      </c>
      <c r="N18" s="1">
        <v>0.0</v>
      </c>
      <c r="O18" s="2">
        <v>0.0312465250750583</v>
      </c>
      <c r="P18" s="1">
        <v>0.0</v>
      </c>
      <c r="Q18" s="1">
        <v>0.0284499341905436</v>
      </c>
      <c r="R18" s="1">
        <v>0.0284499341905436</v>
      </c>
      <c r="S18" s="1">
        <v>0.0</v>
      </c>
      <c r="T18" s="1">
        <v>0.0269809696107815</v>
      </c>
      <c r="U18" s="1">
        <v>0.0</v>
      </c>
      <c r="V18" s="1">
        <v>249.0</v>
      </c>
      <c r="W18" s="1">
        <v>249.0</v>
      </c>
      <c r="X18" s="1">
        <v>0.0</v>
      </c>
      <c r="Y18" s="1">
        <v>1.0</v>
      </c>
      <c r="Z18" s="1">
        <v>1.0</v>
      </c>
      <c r="AA18" s="1">
        <v>0.0</v>
      </c>
      <c r="AB18" s="1">
        <v>13.0</v>
      </c>
      <c r="AC18" s="1">
        <v>13.0</v>
      </c>
      <c r="AD18" s="1">
        <v>0.0</v>
      </c>
      <c r="AE18" s="1">
        <v>18.0</v>
      </c>
      <c r="AF18" s="1">
        <v>18.0</v>
      </c>
      <c r="AG18" s="1">
        <v>0.0</v>
      </c>
      <c r="AH18" s="1">
        <v>9877.0</v>
      </c>
      <c r="AI18" s="1">
        <v>9877.0</v>
      </c>
      <c r="AJ18" s="1">
        <v>0.0</v>
      </c>
      <c r="AK18" s="1">
        <v>333309.0</v>
      </c>
      <c r="AN18" s="1">
        <v>0.0</v>
      </c>
      <c r="AQ18" s="1">
        <v>0.0</v>
      </c>
      <c r="AS18" s="1">
        <v>0.0</v>
      </c>
      <c r="AW18" s="1">
        <v>0.0</v>
      </c>
      <c r="AX18" s="1">
        <v>2.0</v>
      </c>
      <c r="AY18" s="1">
        <v>71.0</v>
      </c>
      <c r="AZ18" s="1">
        <v>1.0</v>
      </c>
      <c r="BA18" s="1">
        <v>1.0</v>
      </c>
      <c r="BB18" s="1">
        <v>0.0</v>
      </c>
      <c r="BC18" s="1">
        <v>250.0</v>
      </c>
      <c r="BD18" s="1">
        <v>250.0</v>
      </c>
      <c r="BE18" s="1">
        <v>0.0</v>
      </c>
      <c r="BF18" s="1">
        <v>0.02779939953297</v>
      </c>
      <c r="BG18" s="1">
        <v>0.0</v>
      </c>
      <c r="BH18" s="1">
        <v>0.0253113293510175</v>
      </c>
      <c r="BI18" s="1">
        <v>0.0253113293510175</v>
      </c>
      <c r="BJ18" s="1">
        <v>0.0</v>
      </c>
      <c r="BK18" s="1">
        <v>8.43061543492675E-4</v>
      </c>
      <c r="BL18" s="1">
        <v>0.0</v>
      </c>
      <c r="BM18" s="1">
        <v>0.0</v>
      </c>
    </row>
    <row r="19">
      <c r="A19" s="1" t="s">
        <v>65</v>
      </c>
      <c r="B19" s="3">
        <v>45373.81449074074</v>
      </c>
      <c r="C19" s="3">
        <v>45385.4653587963</v>
      </c>
      <c r="D19" s="3">
        <v>45385.42460648148</v>
      </c>
      <c r="E19" s="1" t="s">
        <v>120</v>
      </c>
      <c r="F19" s="4" t="s">
        <v>121</v>
      </c>
      <c r="G19" s="4" t="s">
        <v>122</v>
      </c>
      <c r="H19" s="1">
        <v>0.0</v>
      </c>
      <c r="I19" s="1" t="s">
        <v>73</v>
      </c>
      <c r="J19" s="1">
        <v>7537.0</v>
      </c>
      <c r="K19" s="1">
        <v>0.0</v>
      </c>
      <c r="L19" s="1">
        <v>341.0</v>
      </c>
      <c r="M19" s="1">
        <v>341.0</v>
      </c>
      <c r="N19" s="1">
        <v>0.0</v>
      </c>
      <c r="O19" s="2">
        <v>0.0452434655698553</v>
      </c>
      <c r="P19" s="1">
        <v>0.0</v>
      </c>
      <c r="Q19" s="1">
        <v>0.0463882464970752</v>
      </c>
      <c r="R19" s="1">
        <v>0.0463882464970752</v>
      </c>
      <c r="S19" s="1">
        <v>0.0</v>
      </c>
      <c r="T19" s="1">
        <v>0.0225891337185604</v>
      </c>
      <c r="U19" s="1">
        <v>0.0</v>
      </c>
      <c r="V19" s="1">
        <v>292.0</v>
      </c>
      <c r="W19" s="1">
        <v>292.0</v>
      </c>
      <c r="X19" s="1">
        <v>0.0</v>
      </c>
      <c r="Y19" s="1">
        <v>4.0</v>
      </c>
      <c r="Z19" s="1">
        <v>4.0</v>
      </c>
      <c r="AA19" s="1">
        <v>0.0</v>
      </c>
      <c r="AB19" s="1">
        <v>10.0</v>
      </c>
      <c r="AC19" s="1">
        <v>10.0</v>
      </c>
      <c r="AD19" s="1">
        <v>0.0</v>
      </c>
      <c r="AE19" s="1">
        <v>35.0</v>
      </c>
      <c r="AF19" s="1">
        <v>35.0</v>
      </c>
      <c r="AG19" s="1">
        <v>0.0</v>
      </c>
      <c r="AH19" s="1">
        <v>7351.0</v>
      </c>
      <c r="AI19" s="1">
        <v>7351.0</v>
      </c>
      <c r="AJ19" s="1">
        <v>0.0</v>
      </c>
      <c r="AK19" s="1">
        <v>333656.0</v>
      </c>
      <c r="AL19" s="1">
        <v>7351.0</v>
      </c>
      <c r="AM19" s="1">
        <v>7351.0</v>
      </c>
      <c r="AN19" s="1">
        <v>0.0</v>
      </c>
      <c r="AO19" s="1">
        <v>1.0</v>
      </c>
      <c r="AP19" s="1">
        <v>1.0</v>
      </c>
      <c r="AQ19" s="1">
        <v>0.0</v>
      </c>
      <c r="AR19" s="1">
        <v>0.975321746052806</v>
      </c>
      <c r="AS19" s="1">
        <v>0.0</v>
      </c>
      <c r="AW19" s="1">
        <v>0.0</v>
      </c>
      <c r="BC19" s="1">
        <v>296.0</v>
      </c>
      <c r="BD19" s="1">
        <v>296.0</v>
      </c>
      <c r="BE19" s="1">
        <v>0.0</v>
      </c>
      <c r="BF19" s="1">
        <v>0.0392729202600504</v>
      </c>
      <c r="BG19" s="1">
        <v>0.0</v>
      </c>
      <c r="BH19" s="1">
        <v>0.040266630390423</v>
      </c>
      <c r="BI19" s="1">
        <v>0.040266630390423</v>
      </c>
      <c r="BJ19" s="1">
        <v>0.0</v>
      </c>
      <c r="BK19" s="1">
        <v>0.00102201069364854</v>
      </c>
      <c r="BL19" s="1">
        <v>0.0</v>
      </c>
      <c r="BM19" s="1">
        <v>0.0</v>
      </c>
    </row>
    <row r="20">
      <c r="A20" s="1" t="s">
        <v>65</v>
      </c>
      <c r="B20" s="3">
        <v>45357.76451388889</v>
      </c>
      <c r="C20" s="3">
        <v>45385.4653587963</v>
      </c>
      <c r="D20" s="3">
        <v>45385.42460648148</v>
      </c>
      <c r="E20" s="1" t="s">
        <v>123</v>
      </c>
      <c r="F20" s="4" t="s">
        <v>124</v>
      </c>
      <c r="G20" s="4" t="s">
        <v>125</v>
      </c>
      <c r="H20" s="1">
        <v>0.0</v>
      </c>
      <c r="I20" s="1" t="s">
        <v>73</v>
      </c>
      <c r="J20" s="1">
        <v>5854.0</v>
      </c>
      <c r="K20" s="1">
        <v>0.0</v>
      </c>
      <c r="L20" s="1">
        <v>252.0</v>
      </c>
      <c r="M20" s="1">
        <v>252.0</v>
      </c>
      <c r="N20" s="1">
        <v>0.0</v>
      </c>
      <c r="O20" s="2">
        <v>0.043047488896481</v>
      </c>
      <c r="P20" s="1">
        <v>0.0</v>
      </c>
      <c r="Q20" s="1">
        <v>0.0407832982683282</v>
      </c>
      <c r="R20" s="1">
        <v>0.0407832982683282</v>
      </c>
      <c r="S20" s="1">
        <v>0.0</v>
      </c>
      <c r="T20" s="1">
        <v>0.0175632821195947</v>
      </c>
      <c r="U20" s="1">
        <v>0.0</v>
      </c>
      <c r="V20" s="1">
        <v>225.0</v>
      </c>
      <c r="W20" s="1">
        <v>225.0</v>
      </c>
      <c r="X20" s="1">
        <v>0.0</v>
      </c>
      <c r="Y20" s="1">
        <v>2.0</v>
      </c>
      <c r="Z20" s="1">
        <v>2.0</v>
      </c>
      <c r="AA20" s="1">
        <v>0.0</v>
      </c>
      <c r="AB20" s="1">
        <v>7.0</v>
      </c>
      <c r="AC20" s="1">
        <v>7.0</v>
      </c>
      <c r="AD20" s="1">
        <v>0.0</v>
      </c>
      <c r="AE20" s="1">
        <v>18.0</v>
      </c>
      <c r="AF20" s="1">
        <v>18.0</v>
      </c>
      <c r="AG20" s="1">
        <v>0.0</v>
      </c>
      <c r="AH20" s="1">
        <v>6179.0</v>
      </c>
      <c r="AI20" s="1">
        <v>6179.0</v>
      </c>
      <c r="AJ20" s="1">
        <v>0.0</v>
      </c>
      <c r="AK20" s="1">
        <v>333309.0</v>
      </c>
      <c r="AL20" s="1">
        <v>6179.0</v>
      </c>
      <c r="AM20" s="1">
        <v>6179.0</v>
      </c>
      <c r="AN20" s="1">
        <v>0.0</v>
      </c>
      <c r="AO20" s="1">
        <v>1.0</v>
      </c>
      <c r="AP20" s="1">
        <v>1.0</v>
      </c>
      <c r="AQ20" s="1">
        <v>0.0</v>
      </c>
      <c r="AR20" s="1">
        <v>1.05551759480696</v>
      </c>
      <c r="AS20" s="1">
        <v>0.0</v>
      </c>
      <c r="AW20" s="1">
        <v>0.0</v>
      </c>
      <c r="BC20" s="1">
        <v>227.0</v>
      </c>
      <c r="BD20" s="1">
        <v>227.0</v>
      </c>
      <c r="BE20" s="1">
        <v>0.0</v>
      </c>
      <c r="BF20" s="1">
        <v>0.0387769046805603</v>
      </c>
      <c r="BG20" s="1">
        <v>0.0</v>
      </c>
      <c r="BH20" s="1">
        <v>0.0367373361385337</v>
      </c>
      <c r="BI20" s="1">
        <v>0.0367373361385337</v>
      </c>
      <c r="BJ20" s="1">
        <v>0.0</v>
      </c>
      <c r="BK20" s="1">
        <v>7.56055192029018E-4</v>
      </c>
      <c r="BL20" s="1">
        <v>0.0</v>
      </c>
      <c r="BM20" s="1">
        <v>0.0</v>
      </c>
    </row>
    <row r="21">
      <c r="A21" s="1" t="s">
        <v>65</v>
      </c>
      <c r="B21" s="3">
        <v>45358.72659722222</v>
      </c>
      <c r="C21" s="3">
        <v>45385.4653587963</v>
      </c>
      <c r="D21" s="3">
        <v>45385.42460648148</v>
      </c>
      <c r="E21" s="1" t="s">
        <v>126</v>
      </c>
      <c r="F21" s="4" t="s">
        <v>127</v>
      </c>
      <c r="G21" s="4" t="s">
        <v>128</v>
      </c>
      <c r="H21" s="1">
        <v>0.0</v>
      </c>
      <c r="I21" s="1" t="s">
        <v>69</v>
      </c>
      <c r="J21" s="1">
        <v>4127.0</v>
      </c>
      <c r="K21" s="1">
        <v>0.0</v>
      </c>
      <c r="L21" s="1">
        <v>205.0</v>
      </c>
      <c r="M21" s="1">
        <v>205.0</v>
      </c>
      <c r="N21" s="1">
        <v>0.0</v>
      </c>
      <c r="O21" s="2">
        <v>0.0496728858735158</v>
      </c>
      <c r="P21" s="1">
        <v>0.0</v>
      </c>
      <c r="Q21" s="1">
        <v>0.0403067243413291</v>
      </c>
      <c r="R21" s="1">
        <v>0.0403067243413291</v>
      </c>
      <c r="S21" s="1">
        <v>0.0</v>
      </c>
      <c r="T21" s="1">
        <v>0.0123819038789831</v>
      </c>
      <c r="U21" s="1">
        <v>0.0</v>
      </c>
      <c r="V21" s="1">
        <v>202.0</v>
      </c>
      <c r="W21" s="1">
        <v>202.0</v>
      </c>
      <c r="X21" s="1">
        <v>0.0</v>
      </c>
      <c r="Y21" s="1">
        <v>0.0</v>
      </c>
      <c r="Z21" s="1">
        <v>0.0</v>
      </c>
      <c r="AA21" s="1">
        <v>0.0</v>
      </c>
      <c r="AB21" s="1">
        <v>3.0</v>
      </c>
      <c r="AC21" s="1">
        <v>3.0</v>
      </c>
      <c r="AD21" s="1">
        <v>0.0</v>
      </c>
      <c r="AG21" s="1">
        <v>0.0</v>
      </c>
      <c r="AH21" s="1">
        <v>5086.0</v>
      </c>
      <c r="AI21" s="1">
        <v>5086.0</v>
      </c>
      <c r="AJ21" s="1">
        <v>0.0</v>
      </c>
      <c r="AK21" s="1">
        <v>333309.0</v>
      </c>
      <c r="AN21" s="1">
        <v>0.0</v>
      </c>
      <c r="AQ21" s="1">
        <v>0.0</v>
      </c>
      <c r="AS21" s="1">
        <v>0.0</v>
      </c>
      <c r="AT21" s="1">
        <v>4.0</v>
      </c>
      <c r="AU21" s="1">
        <v>4.0</v>
      </c>
      <c r="AV21" s="1">
        <v>0.0</v>
      </c>
      <c r="AW21" s="1">
        <v>0.0</v>
      </c>
      <c r="BC21" s="1">
        <v>202.0</v>
      </c>
      <c r="BD21" s="1">
        <v>202.0</v>
      </c>
      <c r="BE21" s="1">
        <v>0.0</v>
      </c>
      <c r="BF21" s="1">
        <v>0.04894596559244</v>
      </c>
      <c r="BG21" s="1">
        <v>0.0</v>
      </c>
      <c r="BH21" s="1">
        <v>0.0397168698387731</v>
      </c>
      <c r="BI21" s="1">
        <v>0.0397168698387731</v>
      </c>
      <c r="BJ21" s="1">
        <v>0.0</v>
      </c>
      <c r="BK21" s="1">
        <v>6.15044898277574E-4</v>
      </c>
      <c r="BL21" s="1">
        <v>0.0</v>
      </c>
      <c r="BM21" s="1">
        <v>0.0</v>
      </c>
    </row>
    <row r="22">
      <c r="A22" s="1" t="s">
        <v>65</v>
      </c>
      <c r="B22" s="3">
        <v>45378.811111111114</v>
      </c>
      <c r="C22" s="3">
        <v>45385.4653587963</v>
      </c>
      <c r="D22" s="3">
        <v>45385.42460648148</v>
      </c>
      <c r="E22" s="1" t="s">
        <v>129</v>
      </c>
      <c r="F22" s="4" t="s">
        <v>130</v>
      </c>
      <c r="G22" s="4" t="s">
        <v>131</v>
      </c>
      <c r="H22" s="1">
        <v>0.0</v>
      </c>
      <c r="I22" s="1" t="s">
        <v>69</v>
      </c>
      <c r="J22" s="1">
        <v>11809.0</v>
      </c>
      <c r="K22" s="1">
        <v>0.0</v>
      </c>
      <c r="L22" s="1">
        <v>966.0</v>
      </c>
      <c r="M22" s="1">
        <v>966.0</v>
      </c>
      <c r="N22" s="1">
        <v>0.0</v>
      </c>
      <c r="O22" s="2">
        <v>0.0818020154119739</v>
      </c>
      <c r="P22" s="1">
        <v>0.0</v>
      </c>
      <c r="Q22" s="1">
        <v>0.0671672924488944</v>
      </c>
      <c r="R22" s="1">
        <v>0.0671672924488944</v>
      </c>
      <c r="S22" s="1">
        <v>0.0</v>
      </c>
      <c r="T22" s="1">
        <v>0.0353612634113183</v>
      </c>
      <c r="U22" s="1">
        <v>0.0</v>
      </c>
      <c r="V22" s="1">
        <v>859.0</v>
      </c>
      <c r="W22" s="1">
        <v>859.0</v>
      </c>
      <c r="X22" s="1">
        <v>0.0</v>
      </c>
      <c r="Y22" s="1">
        <v>4.0</v>
      </c>
      <c r="Z22" s="1">
        <v>4.0</v>
      </c>
      <c r="AA22" s="1">
        <v>0.0</v>
      </c>
      <c r="AB22" s="1">
        <v>44.0</v>
      </c>
      <c r="AC22" s="1">
        <v>44.0</v>
      </c>
      <c r="AD22" s="1">
        <v>0.0</v>
      </c>
      <c r="AG22" s="1">
        <v>0.0</v>
      </c>
      <c r="AH22" s="1">
        <v>14382.0</v>
      </c>
      <c r="AI22" s="1">
        <v>14382.0</v>
      </c>
      <c r="AJ22" s="1">
        <v>0.0</v>
      </c>
      <c r="AK22" s="1">
        <v>333953.0</v>
      </c>
      <c r="AN22" s="1">
        <v>0.0</v>
      </c>
      <c r="AQ22" s="1">
        <v>0.0</v>
      </c>
      <c r="AS22" s="1">
        <v>0.0</v>
      </c>
      <c r="AT22" s="1">
        <v>7.0</v>
      </c>
      <c r="AU22" s="1">
        <v>7.0</v>
      </c>
      <c r="AV22" s="1">
        <v>0.0</v>
      </c>
      <c r="AW22" s="1">
        <v>0.0</v>
      </c>
      <c r="BC22" s="1">
        <v>863.0</v>
      </c>
      <c r="BD22" s="1">
        <v>863.0</v>
      </c>
      <c r="BE22" s="1">
        <v>0.0</v>
      </c>
      <c r="BF22" s="1">
        <v>0.0730798543483783</v>
      </c>
      <c r="BG22" s="1">
        <v>0.0</v>
      </c>
      <c r="BH22" s="1">
        <v>0.0600055625086914</v>
      </c>
      <c r="BI22" s="1">
        <v>0.0600055625086914</v>
      </c>
      <c r="BJ22" s="1">
        <v>0.0</v>
      </c>
      <c r="BK22" s="1">
        <v>0.00289262261455953</v>
      </c>
      <c r="BL22" s="1">
        <v>0.0</v>
      </c>
      <c r="BM22" s="1">
        <v>0.0</v>
      </c>
    </row>
    <row r="23">
      <c r="A23" s="1" t="s">
        <v>65</v>
      </c>
      <c r="B23" s="3">
        <v>45382.41039351852</v>
      </c>
      <c r="C23" s="3">
        <v>45385.4653587963</v>
      </c>
      <c r="D23" s="3">
        <v>45385.42460648148</v>
      </c>
      <c r="E23" s="1" t="s">
        <v>132</v>
      </c>
      <c r="F23" s="4" t="s">
        <v>133</v>
      </c>
      <c r="G23" s="4" t="s">
        <v>134</v>
      </c>
      <c r="H23" s="1">
        <v>0.0</v>
      </c>
      <c r="I23" s="1" t="s">
        <v>73</v>
      </c>
      <c r="J23" s="1">
        <v>4514.0</v>
      </c>
      <c r="K23" s="1">
        <v>0.0</v>
      </c>
      <c r="L23" s="1">
        <v>345.0</v>
      </c>
      <c r="M23" s="1">
        <v>345.0</v>
      </c>
      <c r="N23" s="1">
        <v>0.0</v>
      </c>
      <c r="O23" s="2">
        <v>0.0764288879042977</v>
      </c>
      <c r="P23" s="1">
        <v>0.0</v>
      </c>
      <c r="Q23" s="1">
        <v>0.0715470759021153</v>
      </c>
      <c r="R23" s="1">
        <v>0.0715470759021153</v>
      </c>
      <c r="S23" s="1">
        <v>0.0</v>
      </c>
      <c r="T23" s="1">
        <v>0.0135127449072757</v>
      </c>
      <c r="U23" s="1">
        <v>0.0</v>
      </c>
      <c r="V23" s="1">
        <v>317.0</v>
      </c>
      <c r="W23" s="1">
        <v>317.0</v>
      </c>
      <c r="X23" s="1">
        <v>0.0</v>
      </c>
      <c r="Y23" s="1">
        <v>4.0</v>
      </c>
      <c r="Z23" s="1">
        <v>4.0</v>
      </c>
      <c r="AA23" s="1">
        <v>0.0</v>
      </c>
      <c r="AB23" s="1">
        <v>7.0</v>
      </c>
      <c r="AC23" s="1">
        <v>7.0</v>
      </c>
      <c r="AD23" s="1">
        <v>0.0</v>
      </c>
      <c r="AE23" s="1">
        <v>17.0</v>
      </c>
      <c r="AF23" s="1">
        <v>17.0</v>
      </c>
      <c r="AG23" s="1">
        <v>0.0</v>
      </c>
      <c r="AH23" s="1">
        <v>4822.0</v>
      </c>
      <c r="AI23" s="1">
        <v>4822.0</v>
      </c>
      <c r="AJ23" s="1">
        <v>0.0</v>
      </c>
      <c r="AK23" s="1">
        <v>334055.0</v>
      </c>
      <c r="AL23" s="1">
        <v>4822.0</v>
      </c>
      <c r="AM23" s="1">
        <v>4822.0</v>
      </c>
      <c r="AN23" s="1">
        <v>0.0</v>
      </c>
      <c r="AO23" s="1">
        <v>1.0</v>
      </c>
      <c r="AP23" s="1">
        <v>1.0</v>
      </c>
      <c r="AQ23" s="1">
        <v>0.0</v>
      </c>
      <c r="AR23" s="1">
        <v>1.06823216659282</v>
      </c>
      <c r="AS23" s="1">
        <v>0.0</v>
      </c>
      <c r="AW23" s="1">
        <v>0.0</v>
      </c>
      <c r="BC23" s="1">
        <v>321.0</v>
      </c>
      <c r="BD23" s="1">
        <v>321.0</v>
      </c>
      <c r="BE23" s="1">
        <v>0.0</v>
      </c>
      <c r="BF23" s="1">
        <v>0.0711120957022596</v>
      </c>
      <c r="BG23" s="1">
        <v>0.0</v>
      </c>
      <c r="BH23" s="1">
        <v>0.0665698880132725</v>
      </c>
      <c r="BI23" s="1">
        <v>0.0665698880132725</v>
      </c>
      <c r="BJ23" s="1">
        <v>0.0</v>
      </c>
      <c r="BK23" s="1">
        <v>0.00103276406579754</v>
      </c>
      <c r="BL23" s="1">
        <v>0.0</v>
      </c>
      <c r="BM23" s="1">
        <v>0.0</v>
      </c>
    </row>
    <row r="24">
      <c r="J24" s="5">
        <f>SUM(J2:J23)</f>
        <v>195639</v>
      </c>
      <c r="L24" s="5">
        <f>SUM(L2:L23)</f>
        <v>10000</v>
      </c>
      <c r="O24" s="6">
        <f>AVERAGE(O2:O23)</f>
        <v>0.05382844859</v>
      </c>
    </row>
    <row r="25">
      <c r="O25" s="6"/>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s>
  <drawing r:id="rId45"/>
</worksheet>
</file>