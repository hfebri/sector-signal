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06_Content performance" sheetId="1" r:id="rId4"/>
  </sheets>
  <definedNames/>
  <calcPr/>
</workbook>
</file>

<file path=xl/sharedStrings.xml><?xml version="1.0" encoding="utf-8"?>
<sst xmlns="http://schemas.openxmlformats.org/spreadsheetml/2006/main" count="111" uniqueCount="52">
  <si>
    <t>sep=</t>
  </si>
  <si>
    <t>Network</t>
  </si>
  <si>
    <t>Page Name</t>
  </si>
  <si>
    <t>Published time (Asia/Jakarta)</t>
  </si>
  <si>
    <t>Post Type</t>
  </si>
  <si>
    <t>Placement</t>
  </si>
  <si>
    <t>Dark</t>
  </si>
  <si>
    <t>Promoted</t>
  </si>
  <si>
    <t>Reshare</t>
  </si>
  <si>
    <t>Post text</t>
  </si>
  <si>
    <t>Post URL</t>
  </si>
  <si>
    <t>Post ID</t>
  </si>
  <si>
    <t>Reach avg.</t>
  </si>
  <si>
    <t>Likes</t>
  </si>
  <si>
    <t>Comments</t>
  </si>
  <si>
    <t>Saves</t>
  </si>
  <si>
    <t>Total engagement</t>
  </si>
  <si>
    <t>Engagement rate (reach)</t>
  </si>
  <si>
    <t>Video views</t>
  </si>
  <si>
    <t>INSTAGRAM</t>
  </si>
  <si>
    <t>BMW Indonesia</t>
  </si>
  <si>
    <t>CAROUSEL</t>
  </si>
  <si>
    <t>Timeline</t>
  </si>
  <si>
    <t>No</t>
  </si>
  <si>
    <t>Embrace the joy of luxury driving with THE NEW 7. Let the sky be your horizon as you embark on unforgettable journeys.   Coming soon.  Click the link on bio to stay informed.  #TheNew7 #DrivenByJoy #BMWIndonesia #SheerDrivingPleasure</t>
  </si>
  <si>
    <t>https://www.instagram.com/p/Csqe4iHPCnd/</t>
  </si>
  <si>
    <t>18364994980046795</t>
  </si>
  <si>
    <t>IMAGE</t>
  </si>
  <si>
    <t>Elevate your driving experience in THE NEW 7 that delivers first-class luxury.  Coming soon.   Click the link on our bio to stay informed.  #TheNew7 #DrivenByJoy #BMWIndonesia #SheerDrivingPleasure</t>
  </si>
  <si>
    <t>https://www.instagram.com/p/CsV85j7PSCq/</t>
  </si>
  <si>
    <t>17971389539363894</t>
  </si>
  <si>
    <t>-</t>
  </si>
  <si>
    <t>The BMW Exhibition has come to an end.   We appreciate you for sharing the JOY with us at Plaza Senayan this weekend.  Stay tuned on #BMWIndonesia's social media platforms for more updates on our upcoming events.</t>
  </si>
  <si>
    <t>https://www.instagram.com/p/CsOdIgpvkC7/</t>
  </si>
  <si>
    <t>17945237021632093</t>
  </si>
  <si>
    <t>It’s your last chance to witness all the outstanding features of THE 5 now at The BMW Exhibition at Main Atrium, Plaza Senayan.   For those who want to make a statement inside-out, THE 5 has you covered with the large glass roof that enhances the spaciousness inside 520i M Sport and the luxurious exterior with chrome accents on the outside. What’s more, THE 5 will impress you with a stylish yet sporty overall image.   Don’t forget to come to #BMWExhibition now to grab our exclusive offers before it’s over!</t>
  </si>
  <si>
    <t>https://www.instagram.com/p/CsNnXkQPX_o/</t>
  </si>
  <si>
    <t>17966824052243664</t>
  </si>
  <si>
    <t>Discover all the features of THE X5 at The BMW Exhibition at Main Atrium, Plaza Senayan.   THE X5 equipped with the Intelligent xDrive all-wheel-drive system and 2-Axle Adaptive air suspension with manual adjustable height.  Feel the luxurious comfort and private 2nd row with 4-zone automatic air conditioning, roller sunblind, and a two-part large Panorama glass roof.  Enjoy our exclusive offers and own your dream BMW. The limited-time offers only last until tomorrow.</t>
  </si>
  <si>
    <t>https://www.instagram.com/p/CsL4Pwnv1YF/</t>
  </si>
  <si>
    <t>18064896412378869</t>
  </si>
  <si>
    <t>BMW Exhibition returns to Plaza Senayan 12-14 May 2023. Mark it as your must-visit exhibition this weekend!  Come over to see THE iX, THE 2 Gran Coupé, THE 3, THE 5, &amp; THE X5 and test #DriveWithJoy.  Spend your weekend with #BMWIndonesia by visiting The #BMWExhibition at Main Atrium, Plaza Senayan and enjoy our limited offers.  #BMWExhibition #BMWIndonesia #SheerDrivingPleasure</t>
  </si>
  <si>
    <t>https://www.instagram.com/p/CsJKVf9NRHP/</t>
  </si>
  <si>
    <t>17983615028122607</t>
  </si>
  <si>
    <t>As the leader in Indonesia's Premium Electric Vehicle market, we're honored to be the official Sustainable Mobility Partner for the ASEAN Summit 2023 in Labuan Bajo. We provided 13 BMW iX units as VVIP mobility to transport the esteemed heads of state and government, furthering our commitment towards a greener future.  Explore the electrifying joy of driving with the BMW iX at the exclusive test drive session in the upcoming BMW Exhibition at Plaza Senayan, Main Atrium from May 12-14, 2023. Don't miss your chance to discover the future of sustainable mobility with us.  #TheiX #BornElectric #DrivenByTheBest #BMWIndonesia</t>
  </si>
  <si>
    <t>https://www.instagram.com/p/CsFwa5IPZw5/</t>
  </si>
  <si>
    <t>17954604989549247</t>
  </si>
  <si>
    <t>https://www.instagram.com/p/CsBSKcsvJBZ/</t>
  </si>
  <si>
    <t>17972564642109327</t>
  </si>
  <si>
    <t>It's time to explore BMW's most iconic models, THE 2, THE 3, THE 5, THE X5, and THE iX.    Enjoy our exclusive offers and test drive BMW model range, only at The BMW Exhibition, Main Atrium, Plaza Senayan. 12-14 May 2023.  #DrivenByJoy #SheerDrivingPleasure #BMWIndonesia</t>
  </si>
  <si>
    <t>https://www.instagram.com/p/Cr2_7V-v69Q/</t>
  </si>
  <si>
    <t>17978186912280833</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</si>
</sst>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h:mm:ss"/>
  </numFmts>
  <fonts count="4">
    <font>
      <sz val="10.0"/>
      <color rgb="FF000000"/>
      <name val="Arial"/>
      <scheme val="minor"/>
    </font>
    <font>
      <color theme="1"/>
      <name val="Arial"/>
      <scheme val="minor"/>
    </font>
    <font>
      <u/>
      <color rgb="FF0000FF"/>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0" fontId="2" numFmtId="0" xfId="0" applyAlignment="1" applyFont="1">
      <alignment readingOrder="0"/>
    </xf>
    <xf borderId="0" fillId="0" fontId="3" numFmtId="0" xfId="0" applyAlignment="1" applyFont="1">
      <alignment horizontal="right" vertical="bottom"/>
    </xf>
    <xf borderId="0" fillId="0" fontId="3" numFmtId="0" xfId="0" applyAlignment="1" applyFont="1">
      <alignment horizontal="right" vertical="bottom"/>
    </xf>
    <xf borderId="0" fillId="0" fontId="3" numFmtId="0" xfId="0" applyAlignment="1" applyFont="1">
      <alignment readingOrder="0" vertical="bottom"/>
    </xf>
    <xf borderId="0" fillId="0" fontId="1" numFmtId="10" xfId="0" applyFont="1" applyNumberFormat="1"/>
    <xf borderId="0" fillId="0" fontId="1" numFmtId="1" xfId="0" applyFont="1" applyNumberFormat="1"/>
    <xf borderId="0" fillId="0" fontId="1" numFmtId="2" xfId="0" applyFont="1" applyNumberFormat="1"/>
    <xf borderId="0" fillId="0"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instagram.com/p/Csqe4iHPCnd/" TargetMode="External"/><Relationship Id="rId2" Type="http://schemas.openxmlformats.org/officeDocument/2006/relationships/hyperlink" Target="https://www.instagram.com/p/CsV85j7PSCq/" TargetMode="External"/><Relationship Id="rId3" Type="http://schemas.openxmlformats.org/officeDocument/2006/relationships/hyperlink" Target="https://www.instagram.com/p/CsOdIgpvkC7/" TargetMode="External"/><Relationship Id="rId4" Type="http://schemas.openxmlformats.org/officeDocument/2006/relationships/hyperlink" Target="https://www.instagram.com/p/CsNnXkQPX_o/" TargetMode="External"/><Relationship Id="rId10" Type="http://schemas.openxmlformats.org/officeDocument/2006/relationships/drawing" Target="../drawings/drawing1.xml"/><Relationship Id="rId9" Type="http://schemas.openxmlformats.org/officeDocument/2006/relationships/hyperlink" Target="https://www.instagram.com/p/Cr2_7V-v69Q/" TargetMode="External"/><Relationship Id="rId5" Type="http://schemas.openxmlformats.org/officeDocument/2006/relationships/hyperlink" Target="https://www.instagram.com/p/CsL4Pwnv1YF/" TargetMode="External"/><Relationship Id="rId6" Type="http://schemas.openxmlformats.org/officeDocument/2006/relationships/hyperlink" Target="https://www.instagram.com/p/CsJKVf9NRHP/" TargetMode="External"/><Relationship Id="rId7" Type="http://schemas.openxmlformats.org/officeDocument/2006/relationships/hyperlink" Target="https://www.instagram.com/p/CsFwa5IPZw5/" TargetMode="External"/><Relationship Id="rId8" Type="http://schemas.openxmlformats.org/officeDocument/2006/relationships/hyperlink" Target="https://www.instagram.com/p/CsBSKcsvJBZ/"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9" max="9" width="22.5"/>
  </cols>
  <sheetData>
    <row r="1">
      <c r="A1" s="1" t="s">
        <v>0</v>
      </c>
    </row>
    <row r="2">
      <c r="A2" s="1" t="s">
        <v>1</v>
      </c>
      <c r="B2" s="1" t="s">
        <v>2</v>
      </c>
      <c r="C2" s="1" t="s">
        <v>3</v>
      </c>
      <c r="D2" s="1" t="s">
        <v>4</v>
      </c>
      <c r="E2" s="1" t="s">
        <v>5</v>
      </c>
      <c r="F2" s="1" t="s">
        <v>6</v>
      </c>
      <c r="G2" s="1" t="s">
        <v>7</v>
      </c>
      <c r="H2" s="1" t="s">
        <v>8</v>
      </c>
      <c r="I2" s="1" t="s">
        <v>9</v>
      </c>
      <c r="J2" s="1" t="s">
        <v>10</v>
      </c>
      <c r="K2" s="1" t="s">
        <v>11</v>
      </c>
      <c r="L2" s="1" t="s">
        <v>12</v>
      </c>
      <c r="M2" s="1" t="s">
        <v>13</v>
      </c>
      <c r="N2" s="1" t="s">
        <v>14</v>
      </c>
      <c r="O2" s="1" t="s">
        <v>15</v>
      </c>
      <c r="P2" s="1" t="s">
        <v>16</v>
      </c>
      <c r="Q2" s="1" t="s">
        <v>17</v>
      </c>
      <c r="R2" s="1" t="s">
        <v>18</v>
      </c>
    </row>
    <row r="3">
      <c r="A3" s="1" t="s">
        <v>19</v>
      </c>
      <c r="B3" s="1" t="s">
        <v>20</v>
      </c>
      <c r="C3" s="2">
        <v>45071.75332175926</v>
      </c>
      <c r="D3" s="1" t="s">
        <v>21</v>
      </c>
      <c r="E3" s="1" t="s">
        <v>22</v>
      </c>
      <c r="F3" s="1" t="s">
        <v>23</v>
      </c>
      <c r="G3" s="1" t="s">
        <v>23</v>
      </c>
      <c r="H3" s="1" t="s">
        <v>23</v>
      </c>
      <c r="I3" s="1" t="s">
        <v>24</v>
      </c>
      <c r="J3" s="3" t="s">
        <v>25</v>
      </c>
      <c r="K3" s="1" t="s">
        <v>26</v>
      </c>
      <c r="L3" s="1">
        <v>7684.0</v>
      </c>
      <c r="M3" s="1">
        <v>421.0</v>
      </c>
      <c r="N3" s="1">
        <v>3.0</v>
      </c>
      <c r="O3" s="1">
        <v>6.0</v>
      </c>
      <c r="P3" s="1">
        <f t="shared" ref="P3:P11" si="1">sum(M3:O3)</f>
        <v>430</v>
      </c>
      <c r="Q3" s="1">
        <v>5.6</v>
      </c>
      <c r="R3" s="1">
        <v>0.0</v>
      </c>
    </row>
    <row r="4">
      <c r="A4" s="1" t="s">
        <v>19</v>
      </c>
      <c r="B4" s="1" t="s">
        <v>20</v>
      </c>
      <c r="C4" s="2">
        <v>45063.77987268518</v>
      </c>
      <c r="D4" s="1" t="s">
        <v>27</v>
      </c>
      <c r="E4" s="1" t="s">
        <v>22</v>
      </c>
      <c r="F4" s="1" t="s">
        <v>23</v>
      </c>
      <c r="G4" s="1" t="s">
        <v>23</v>
      </c>
      <c r="H4" s="1" t="s">
        <v>23</v>
      </c>
      <c r="I4" s="1" t="s">
        <v>28</v>
      </c>
      <c r="J4" s="3" t="s">
        <v>29</v>
      </c>
      <c r="K4" s="1" t="s">
        <v>30</v>
      </c>
      <c r="L4" s="1">
        <v>9351.0</v>
      </c>
      <c r="M4" s="1">
        <v>340.0</v>
      </c>
      <c r="N4" s="1">
        <v>0.0</v>
      </c>
      <c r="O4" s="1">
        <v>6.0</v>
      </c>
      <c r="P4" s="1">
        <f t="shared" si="1"/>
        <v>346</v>
      </c>
      <c r="Q4" s="1">
        <v>3.7</v>
      </c>
      <c r="R4" s="1" t="s">
        <v>31</v>
      </c>
    </row>
    <row r="5">
      <c r="A5" s="1" t="s">
        <v>19</v>
      </c>
      <c r="B5" s="1" t="s">
        <v>20</v>
      </c>
      <c r="C5" s="2">
        <v>45060.868576388886</v>
      </c>
      <c r="D5" s="1" t="s">
        <v>21</v>
      </c>
      <c r="E5" s="1" t="s">
        <v>22</v>
      </c>
      <c r="F5" s="1" t="s">
        <v>23</v>
      </c>
      <c r="G5" s="1" t="s">
        <v>23</v>
      </c>
      <c r="H5" s="1" t="s">
        <v>23</v>
      </c>
      <c r="I5" s="1" t="s">
        <v>32</v>
      </c>
      <c r="J5" s="3" t="s">
        <v>33</v>
      </c>
      <c r="K5" s="1" t="s">
        <v>34</v>
      </c>
      <c r="L5" s="1">
        <v>7278.0</v>
      </c>
      <c r="M5" s="1">
        <v>398.0</v>
      </c>
      <c r="N5" s="1">
        <v>3.0</v>
      </c>
      <c r="O5" s="1">
        <v>7.0</v>
      </c>
      <c r="P5" s="1">
        <f t="shared" si="1"/>
        <v>408</v>
      </c>
      <c r="Q5" s="1">
        <v>5.61</v>
      </c>
      <c r="R5" s="1">
        <v>0.0</v>
      </c>
    </row>
    <row r="6">
      <c r="A6" s="1" t="s">
        <v>19</v>
      </c>
      <c r="B6" s="1" t="s">
        <v>20</v>
      </c>
      <c r="C6" s="2">
        <v>45060.54232638889</v>
      </c>
      <c r="D6" s="1" t="s">
        <v>21</v>
      </c>
      <c r="E6" s="1" t="s">
        <v>22</v>
      </c>
      <c r="F6" s="1" t="s">
        <v>23</v>
      </c>
      <c r="G6" s="1" t="s">
        <v>23</v>
      </c>
      <c r="H6" s="1" t="s">
        <v>23</v>
      </c>
      <c r="I6" s="1" t="s">
        <v>35</v>
      </c>
      <c r="J6" s="3" t="s">
        <v>36</v>
      </c>
      <c r="K6" s="1" t="s">
        <v>37</v>
      </c>
      <c r="L6" s="1">
        <v>12967.0</v>
      </c>
      <c r="M6" s="1">
        <v>677.0</v>
      </c>
      <c r="N6" s="1">
        <v>1.0</v>
      </c>
      <c r="O6" s="1">
        <v>27.0</v>
      </c>
      <c r="P6" s="1">
        <f t="shared" si="1"/>
        <v>705</v>
      </c>
      <c r="Q6" s="1">
        <v>5.44</v>
      </c>
      <c r="R6" s="1">
        <v>0.0</v>
      </c>
    </row>
    <row r="7">
      <c r="A7" s="1" t="s">
        <v>19</v>
      </c>
      <c r="B7" s="1" t="s">
        <v>20</v>
      </c>
      <c r="C7" s="2">
        <v>45059.86802083333</v>
      </c>
      <c r="D7" s="1" t="s">
        <v>21</v>
      </c>
      <c r="E7" s="1" t="s">
        <v>22</v>
      </c>
      <c r="F7" s="1" t="s">
        <v>23</v>
      </c>
      <c r="G7" s="1" t="s">
        <v>23</v>
      </c>
      <c r="H7" s="1" t="s">
        <v>23</v>
      </c>
      <c r="I7" s="1" t="s">
        <v>38</v>
      </c>
      <c r="J7" s="3" t="s">
        <v>39</v>
      </c>
      <c r="K7" s="1" t="s">
        <v>40</v>
      </c>
      <c r="L7" s="1">
        <v>8909.0</v>
      </c>
      <c r="M7" s="1">
        <v>506.0</v>
      </c>
      <c r="N7" s="1">
        <v>4.0</v>
      </c>
      <c r="O7" s="1">
        <v>28.0</v>
      </c>
      <c r="P7" s="1">
        <f t="shared" si="1"/>
        <v>538</v>
      </c>
      <c r="Q7" s="1">
        <v>6.04</v>
      </c>
      <c r="R7" s="1">
        <v>0.0</v>
      </c>
    </row>
    <row r="8">
      <c r="A8" s="1" t="s">
        <v>19</v>
      </c>
      <c r="B8" s="1" t="s">
        <v>20</v>
      </c>
      <c r="C8" s="2">
        <v>45058.812743055554</v>
      </c>
      <c r="D8" s="1" t="s">
        <v>21</v>
      </c>
      <c r="E8" s="1" t="s">
        <v>22</v>
      </c>
      <c r="F8" s="1" t="s">
        <v>23</v>
      </c>
      <c r="G8" s="1" t="s">
        <v>23</v>
      </c>
      <c r="H8" s="1" t="s">
        <v>23</v>
      </c>
      <c r="I8" s="1" t="s">
        <v>41</v>
      </c>
      <c r="J8" s="3" t="s">
        <v>42</v>
      </c>
      <c r="K8" s="1" t="s">
        <v>43</v>
      </c>
      <c r="L8" s="1">
        <v>11253.0</v>
      </c>
      <c r="M8" s="1">
        <v>666.0</v>
      </c>
      <c r="N8" s="1">
        <v>6.0</v>
      </c>
      <c r="O8" s="1">
        <v>14.0</v>
      </c>
      <c r="P8" s="1">
        <f t="shared" si="1"/>
        <v>686</v>
      </c>
      <c r="Q8" s="1">
        <v>6.1</v>
      </c>
      <c r="R8" s="1">
        <v>0.0</v>
      </c>
    </row>
    <row r="9">
      <c r="A9" s="1" t="s">
        <v>19</v>
      </c>
      <c r="B9" s="1" t="s">
        <v>20</v>
      </c>
      <c r="C9" s="2">
        <v>45057.4903587963</v>
      </c>
      <c r="D9" s="1" t="s">
        <v>21</v>
      </c>
      <c r="E9" s="1" t="s">
        <v>22</v>
      </c>
      <c r="F9" s="1" t="s">
        <v>23</v>
      </c>
      <c r="G9" s="1" t="s">
        <v>23</v>
      </c>
      <c r="H9" s="1" t="s">
        <v>23</v>
      </c>
      <c r="I9" s="1" t="s">
        <v>44</v>
      </c>
      <c r="J9" s="3" t="s">
        <v>45</v>
      </c>
      <c r="K9" s="1" t="s">
        <v>46</v>
      </c>
      <c r="L9" s="1">
        <v>5256.0</v>
      </c>
      <c r="M9" s="1">
        <v>306.0</v>
      </c>
      <c r="N9" s="1">
        <v>0.0</v>
      </c>
      <c r="O9" s="1">
        <v>8.0</v>
      </c>
      <c r="P9" s="1">
        <f t="shared" si="1"/>
        <v>314</v>
      </c>
      <c r="Q9" s="1">
        <v>5.97</v>
      </c>
      <c r="R9" s="1">
        <v>0.0</v>
      </c>
    </row>
    <row r="10">
      <c r="A10" s="1" t="s">
        <v>19</v>
      </c>
      <c r="B10" s="1" t="s">
        <v>20</v>
      </c>
      <c r="C10" s="2">
        <v>45055.75331018519</v>
      </c>
      <c r="D10" s="1" t="s">
        <v>21</v>
      </c>
      <c r="E10" s="1" t="s">
        <v>22</v>
      </c>
      <c r="F10" s="1" t="s">
        <v>23</v>
      </c>
      <c r="G10" s="1" t="s">
        <v>23</v>
      </c>
      <c r="H10" s="1" t="s">
        <v>23</v>
      </c>
      <c r="I10" s="1" t="s">
        <v>44</v>
      </c>
      <c r="J10" s="3" t="s">
        <v>47</v>
      </c>
      <c r="K10" s="1" t="s">
        <v>48</v>
      </c>
      <c r="L10" s="1">
        <v>4097.0</v>
      </c>
      <c r="M10" s="1">
        <v>351.0</v>
      </c>
      <c r="N10" s="1">
        <v>2.0</v>
      </c>
      <c r="O10" s="1">
        <v>8.0</v>
      </c>
      <c r="P10" s="1">
        <f t="shared" si="1"/>
        <v>361</v>
      </c>
      <c r="Q10" s="1">
        <v>8.81</v>
      </c>
      <c r="R10" s="1">
        <v>0.0</v>
      </c>
    </row>
    <row r="11">
      <c r="A11" s="1" t="s">
        <v>19</v>
      </c>
      <c r="B11" s="1" t="s">
        <v>20</v>
      </c>
      <c r="C11" s="2">
        <v>45051.759039351855</v>
      </c>
      <c r="D11" s="1" t="s">
        <v>27</v>
      </c>
      <c r="E11" s="1" t="s">
        <v>22</v>
      </c>
      <c r="F11" s="1" t="s">
        <v>23</v>
      </c>
      <c r="G11" s="1" t="s">
        <v>23</v>
      </c>
      <c r="H11" s="1" t="s">
        <v>23</v>
      </c>
      <c r="I11" s="1" t="s">
        <v>49</v>
      </c>
      <c r="J11" s="3" t="s">
        <v>50</v>
      </c>
      <c r="K11" s="1" t="s">
        <v>51</v>
      </c>
      <c r="L11" s="1">
        <v>7006.0</v>
      </c>
      <c r="M11" s="1">
        <v>201.0</v>
      </c>
      <c r="N11" s="1">
        <v>1.0</v>
      </c>
      <c r="O11" s="1">
        <v>3.0</v>
      </c>
      <c r="P11" s="1">
        <f t="shared" si="1"/>
        <v>205</v>
      </c>
      <c r="Q11" s="1">
        <v>2.93</v>
      </c>
      <c r="R11" s="1" t="s">
        <v>31</v>
      </c>
    </row>
    <row r="12">
      <c r="L12" s="4">
        <v>9270.0</v>
      </c>
      <c r="P12" s="5">
        <v>376.0</v>
      </c>
      <c r="Q12" s="6">
        <v>4.06</v>
      </c>
    </row>
    <row r="13">
      <c r="L13" s="4">
        <v>12005.0</v>
      </c>
      <c r="P13" s="5">
        <v>397.0</v>
      </c>
      <c r="Q13" s="6">
        <v>3.31</v>
      </c>
    </row>
    <row r="14">
      <c r="L14" s="4">
        <v>11369.0</v>
      </c>
      <c r="P14" s="5">
        <v>614.0</v>
      </c>
      <c r="Q14" s="6">
        <v>5.4</v>
      </c>
    </row>
    <row r="15">
      <c r="L15" s="4">
        <v>8605.0</v>
      </c>
      <c r="P15" s="5">
        <v>398.0</v>
      </c>
      <c r="Q15" s="6">
        <v>4.63</v>
      </c>
    </row>
    <row r="16">
      <c r="L16" s="4">
        <v>9253.0</v>
      </c>
      <c r="P16" s="5">
        <v>350.0</v>
      </c>
      <c r="Q16" s="6">
        <v>3.78</v>
      </c>
    </row>
    <row r="17">
      <c r="L17" s="4">
        <v>9765.0</v>
      </c>
      <c r="P17" s="5">
        <v>295.0</v>
      </c>
      <c r="Q17" s="6">
        <v>3.02</v>
      </c>
    </row>
    <row r="18">
      <c r="L18" s="4">
        <v>9662.0</v>
      </c>
      <c r="P18" s="5">
        <v>320.0</v>
      </c>
      <c r="Q18" s="6">
        <v>3.31</v>
      </c>
    </row>
    <row r="19">
      <c r="L19" s="4">
        <v>10304.0</v>
      </c>
      <c r="P19" s="5">
        <v>313.0</v>
      </c>
      <c r="Q19" s="6">
        <v>3.04</v>
      </c>
    </row>
    <row r="20">
      <c r="L20" s="4">
        <v>7779.0</v>
      </c>
      <c r="P20" s="5">
        <v>243.0</v>
      </c>
      <c r="Q20" s="6">
        <v>3.12</v>
      </c>
    </row>
    <row r="21">
      <c r="L21" s="4">
        <v>10928.0</v>
      </c>
      <c r="P21" s="5">
        <v>341.0</v>
      </c>
      <c r="Q21" s="6">
        <v>3.12</v>
      </c>
    </row>
    <row r="22">
      <c r="L22" s="4">
        <v>12655.0</v>
      </c>
      <c r="P22" s="5">
        <v>396.0</v>
      </c>
      <c r="Q22" s="6">
        <v>3.13</v>
      </c>
    </row>
    <row r="23">
      <c r="L23" s="4">
        <v>16736.0</v>
      </c>
      <c r="P23" s="5">
        <v>654.0</v>
      </c>
      <c r="Q23" s="6">
        <v>3.91</v>
      </c>
    </row>
    <row r="24">
      <c r="K24" s="7">
        <f>9625/12887-1</f>
        <v>-0.2531233026</v>
      </c>
      <c r="L24" s="8">
        <f>AVERAGE(L3:L23)</f>
        <v>9625.333333</v>
      </c>
      <c r="P24" s="9">
        <f>SUM(P3:P23)</f>
        <v>8690</v>
      </c>
      <c r="Q24" s="9">
        <f>AVERAGE(Q3:Q23)</f>
        <v>4.477619048</v>
      </c>
    </row>
    <row r="25">
      <c r="L25" s="10">
        <f>sum(L3:L23)</f>
        <v>202132</v>
      </c>
      <c r="O25" s="7">
        <f>8690/10105-1</f>
        <v>-0.1400296883</v>
      </c>
    </row>
  </sheetData>
  <hyperlinks>
    <hyperlink r:id="rId1" ref="J3"/>
    <hyperlink r:id="rId2" ref="J4"/>
    <hyperlink r:id="rId3" ref="J5"/>
    <hyperlink r:id="rId4" ref="J6"/>
    <hyperlink r:id="rId5" ref="J7"/>
    <hyperlink r:id="rId6" ref="J8"/>
    <hyperlink r:id="rId7" ref="J9"/>
    <hyperlink r:id="rId8" ref="J10"/>
    <hyperlink r:id="rId9" ref="J11"/>
  </hyperlinks>
  <drawing r:id="rId10"/>
</worksheet>
</file>