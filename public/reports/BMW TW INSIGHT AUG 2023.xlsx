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_activity_metrics_BMW_Indo" sheetId="1" r:id="rId4"/>
  </sheets>
  <definedNames/>
  <calcPr/>
</workbook>
</file>

<file path=xl/sharedStrings.xml><?xml version="1.0" encoding="utf-8"?>
<sst xmlns="http://schemas.openxmlformats.org/spreadsheetml/2006/main" count="348" uniqueCount="89">
  <si>
    <t>Tweet id</t>
  </si>
  <si>
    <t>Tweet permalink</t>
  </si>
  <si>
    <t>Tweet text</t>
  </si>
  <si>
    <t>time</t>
  </si>
  <si>
    <t>impressions</t>
  </si>
  <si>
    <t>engagements</t>
  </si>
  <si>
    <t>engagement rate</t>
  </si>
  <si>
    <t>retweets</t>
  </si>
  <si>
    <t>replies</t>
  </si>
  <si>
    <t>likes</t>
  </si>
  <si>
    <t>user profile clicks</t>
  </si>
  <si>
    <t>url clicks</t>
  </si>
  <si>
    <t>hashtag clicks</t>
  </si>
  <si>
    <t>detail expands</t>
  </si>
  <si>
    <t>permalink clicks</t>
  </si>
  <si>
    <t>app opens</t>
  </si>
  <si>
    <t>app installs</t>
  </si>
  <si>
    <t>follows</t>
  </si>
  <si>
    <t>email tweet</t>
  </si>
  <si>
    <t>dial phone</t>
  </si>
  <si>
    <t>media views</t>
  </si>
  <si>
    <t>media engagements</t>
  </si>
  <si>
    <t>promoted impressions</t>
  </si>
  <si>
    <t>promoted engagements</t>
  </si>
  <si>
    <t>promoted engagement rate</t>
  </si>
  <si>
    <t>promoted retweets</t>
  </si>
  <si>
    <t>promoted replies</t>
  </si>
  <si>
    <t>promoted likes</t>
  </si>
  <si>
    <t>promoted user profile clicks</t>
  </si>
  <si>
    <t>promoted url clicks</t>
  </si>
  <si>
    <t>promoted hashtag clicks</t>
  </si>
  <si>
    <t>promoted detail expands</t>
  </si>
  <si>
    <t>promoted permalink clicks</t>
  </si>
  <si>
    <t>promoted app opens</t>
  </si>
  <si>
    <t>promoted app installs</t>
  </si>
  <si>
    <t>promoted follows</t>
  </si>
  <si>
    <t>promoted email tweet</t>
  </si>
  <si>
    <t>promoted dial phone</t>
  </si>
  <si>
    <t>promoted media views</t>
  </si>
  <si>
    <t>promoted media engagements</t>
  </si>
  <si>
    <t>1693230930343928277</t>
  </si>
  <si>
    <t>https://twitter.com/BMW_Indonesia/status/1693230930343928277</t>
  </si>
  <si>
    <t>Witness #TheUltimateYou only at The BMW Pavilion, GIIAS 2023, until 20 August.
—
M Hybrid Power: a 4.4-liter BMW M TwinPower Turbo V-8 engine paired with a high-performance electric motor.
#GIIAS2023 #BMWGIIAS2023 https://t.co/jcLCAd4zpN</t>
  </si>
  <si>
    <t>2023-08-20 11:58 +0000</t>
  </si>
  <si>
    <t>-</t>
  </si>
  <si>
    <t>1693230916926349581</t>
  </si>
  <si>
    <t>https://twitter.com/BMW_Indonesia/status/1693230916926349581</t>
  </si>
  <si>
    <t>Expressive. Powerful. Opulent. 
The XM transform the meaning of existing on the edge into an artform.
Experience engineering perfection with the BMW M Hybrid Power along with a luxurious design that elevates your state of joy. https://t.co/I4tVfiVaIs</t>
  </si>
  <si>
    <t>1693230361730547914</t>
  </si>
  <si>
    <t>https://twitter.com/BMW_Indonesia/status/1693230361730547914</t>
  </si>
  <si>
    <t>*THE M2 is also available in 6-speed manual transmission with M Carbon Bucket Seats</t>
  </si>
  <si>
    <t>2023-08-20 11:55 +0000</t>
  </si>
  <si>
    <t>1693230357842411830</t>
  </si>
  <si>
    <t>https://twitter.com/BMW_Indonesia/status/1693230357842411830</t>
  </si>
  <si>
    <t>With an outstanding 460 hp peak output and 550 Nm torque, it hits 0 to 100 km/h in just 4.1 seconds. Enhanced by 19"/20" M light alloy wheels (Double-spoke style 930 M) and Sport Seats with Vernasca Leather, it guarantees JOY in every driving moment. https://t.co/zOuziaKnkG</t>
  </si>
  <si>
    <t>1693230346928849003</t>
  </si>
  <si>
    <t>https://twitter.com/BMW_Indonesia/status/1693230346928849003</t>
  </si>
  <si>
    <t>As a symphony of high performance, aesthetics, and attitude, THE M2 offers pure driving pleasure. https://t.co/NtOlf5Zmuz</t>
  </si>
  <si>
    <t>1691734978361704747</t>
  </si>
  <si>
    <t>https://twitter.com/BMW_Indonesia/status/1691734978361704747</t>
  </si>
  <si>
    <t>We are open daily until 20 August, from 11 am to 9 pm (weekdays) and 10 am to 9 pm (public holiday/weekends) at Convention Hall, ICE - BSD City.
#GIIAS2023 #BMWGIIAS2023 https://t.co/OSzGnNF8uk</t>
  </si>
  <si>
    <t>2023-08-16 08:53 +0000</t>
  </si>
  <si>
    <t>1691734923248599389</t>
  </si>
  <si>
    <t>https://twitter.com/BMW_Indonesia/status/1691734923248599389</t>
  </si>
  <si>
    <t>Indulge in luxury at the Luxury Class Lounge, thrill at the M Corner, embrace sustainability at the i Corner, customize at M Performance Parts, and when you're ready to unwind, the BMW Lounge offers a comfortable retreat. https://t.co/X8wITnG4Nl</t>
  </si>
  <si>
    <t>1691734891116089451</t>
  </si>
  <si>
    <t>https://twitter.com/BMW_Indonesia/status/1691734891116089451</t>
  </si>
  <si>
    <t>Have you visited the BMW Pavilion at GIIAS 2023? 
Make way for JOY as you discover the complete BMW experience with us.</t>
  </si>
  <si>
    <t>1690627216252788736</t>
  </si>
  <si>
    <t>https://twitter.com/BMW_Indonesia/status/1690627216252788736</t>
  </si>
  <si>
    <t>Experience THE NEW X1 by participating in an exclusive WIN &amp;amp; PLAY Agent X1 at The BMW Pavilion - GIIAS 2023, from August 10-20.  #OwnYourDream #GIIAS2023 #BMWGIIAS2023 https://t.co/VF8LHPcdgH</t>
  </si>
  <si>
    <t>2023-08-13 07:31 +0000</t>
  </si>
  <si>
    <t>1690627212905676800</t>
  </si>
  <si>
    <t>https://twitter.com/BMW_Indonesia/status/1690627212905676800</t>
  </si>
  <si>
    <t>Turn your everyday drive into an extraordinary one with THE BIGGER, BETTER, and BOLDER X1. Designed for urban explorers, its innovation exhilarates your journey. https://t.co/vJV68MdSLM</t>
  </si>
  <si>
    <t>1689175270828462080</t>
  </si>
  <si>
    <t>https://twitter.com/BMW_Indonesia/status/1689175270828462080</t>
  </si>
  <si>
    <t>Immerse yourself in this remarkable service, available for you to experience firsthand at The Westin, Jakarta.
To learn more, contact your nearest BMW authorized dealer or visit https://t.co/T64tUXSJIp https://t.co/QH5rIjeCaK</t>
  </si>
  <si>
    <t>2023-08-09 07:22 +0000</t>
  </si>
  <si>
    <t>1689175266881609728</t>
  </si>
  <si>
    <t>https://twitter.com/BMW_Indonesia/status/1689175266881609728</t>
  </si>
  <si>
    <t>BMW Indonesia and Bluebird Group proudly present a partnership that redefines eco-luxury. Elevate your stay at Jakarta's most prestigious hotels while indulging in a premium and sustainable driving experience offered by the Bluebird taxi service, featuring the BMW iX. https://t.co/ErCSjHdLtQ</t>
  </si>
  <si>
    <t>1687423955743948801</t>
  </si>
  <si>
    <t>https://twitter.com/BMW_Indonesia/status/1687423955743948801</t>
  </si>
  <si>
    <t>Only at the BMW Pavilion on 10-20 Aug 2023. Mark your calendar. https://t.co/ucknXOdTj5</t>
  </si>
  <si>
    <t>2023-08-04 11:23 +0000</t>
  </si>
  <si>
    <t>1687423943114973184</t>
  </si>
  <si>
    <t>https://twitter.com/BMW_Indonesia/status/1687423943114973184</t>
  </si>
  <si>
    <t>Make way for JOY as you witness  the latest BMW models at GIIAS. https://t.co/qd1DMyp2PR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</si>
</sst>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witter.com/BMW_Indonesia/status/1689175270828462080" TargetMode="External"/><Relationship Id="rId10" Type="http://schemas.openxmlformats.org/officeDocument/2006/relationships/hyperlink" Target="https://twitter.com/BMW_Indonesia/status/1690627212905676800" TargetMode="External"/><Relationship Id="rId13" Type="http://schemas.openxmlformats.org/officeDocument/2006/relationships/hyperlink" Target="https://twitter.com/BMW_Indonesia/status/1687423955743948801" TargetMode="External"/><Relationship Id="rId12" Type="http://schemas.openxmlformats.org/officeDocument/2006/relationships/hyperlink" Target="https://twitter.com/BMW_Indonesia/status/1689175266881609728" TargetMode="External"/><Relationship Id="rId1" Type="http://schemas.openxmlformats.org/officeDocument/2006/relationships/hyperlink" Target="https://twitter.com/BMW_Indonesia/status/1693230930343928277" TargetMode="External"/><Relationship Id="rId2" Type="http://schemas.openxmlformats.org/officeDocument/2006/relationships/hyperlink" Target="https://twitter.com/BMW_Indonesia/status/1693230916926349581" TargetMode="External"/><Relationship Id="rId3" Type="http://schemas.openxmlformats.org/officeDocument/2006/relationships/hyperlink" Target="https://twitter.com/BMW_Indonesia/status/1693230361730547914" TargetMode="External"/><Relationship Id="rId4" Type="http://schemas.openxmlformats.org/officeDocument/2006/relationships/hyperlink" Target="https://twitter.com/BMW_Indonesia/status/1693230357842411830" TargetMode="External"/><Relationship Id="rId9" Type="http://schemas.openxmlformats.org/officeDocument/2006/relationships/hyperlink" Target="https://twitter.com/BMW_Indonesia/status/1690627216252788736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twitter.com/BMW_Indonesia/status/1687423943114973184" TargetMode="External"/><Relationship Id="rId5" Type="http://schemas.openxmlformats.org/officeDocument/2006/relationships/hyperlink" Target="https://twitter.com/BMW_Indonesia/status/1693230346928849003" TargetMode="External"/><Relationship Id="rId6" Type="http://schemas.openxmlformats.org/officeDocument/2006/relationships/hyperlink" Target="https://twitter.com/BMW_Indonesia/status/1691734978361704747" TargetMode="External"/><Relationship Id="rId7" Type="http://schemas.openxmlformats.org/officeDocument/2006/relationships/hyperlink" Target="https://twitter.com/BMW_Indonesia/status/1691734923248599389" TargetMode="External"/><Relationship Id="rId8" Type="http://schemas.openxmlformats.org/officeDocument/2006/relationships/hyperlink" Target="https://twitter.com/BMW_Indonesia/status/1691734891116089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3" t="s">
        <v>41</v>
      </c>
      <c r="C2" s="1" t="s">
        <v>42</v>
      </c>
      <c r="D2" s="1" t="s">
        <v>43</v>
      </c>
      <c r="E2" s="1">
        <v>106.0</v>
      </c>
      <c r="F2" s="1">
        <v>4.0</v>
      </c>
      <c r="G2" s="2">
        <v>0.0377358490566037</v>
      </c>
      <c r="H2" s="1">
        <v>0.0</v>
      </c>
      <c r="I2" s="1">
        <v>0.0</v>
      </c>
      <c r="J2" s="1">
        <v>1.0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3.0</v>
      </c>
      <c r="V2" s="1">
        <v>3.0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</row>
    <row r="3">
      <c r="A3" s="1" t="s">
        <v>45</v>
      </c>
      <c r="B3" s="3" t="s">
        <v>46</v>
      </c>
      <c r="C3" s="1" t="s">
        <v>47</v>
      </c>
      <c r="D3" s="1" t="s">
        <v>43</v>
      </c>
      <c r="E3" s="1">
        <v>464.0</v>
      </c>
      <c r="F3" s="1">
        <v>23.0</v>
      </c>
      <c r="G3" s="2">
        <v>0.0495689655172413</v>
      </c>
      <c r="H3" s="1">
        <v>2.0</v>
      </c>
      <c r="I3" s="1">
        <v>1.0</v>
      </c>
      <c r="J3" s="1">
        <v>5.0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15.0</v>
      </c>
      <c r="V3" s="1">
        <v>15.0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</row>
    <row r="4">
      <c r="A4" s="1" t="s">
        <v>48</v>
      </c>
      <c r="B4" s="3" t="s">
        <v>49</v>
      </c>
      <c r="C4" s="1" t="s">
        <v>50</v>
      </c>
      <c r="D4" s="1" t="s">
        <v>51</v>
      </c>
      <c r="E4" s="1">
        <v>91.0</v>
      </c>
      <c r="F4" s="1">
        <v>0.0</v>
      </c>
      <c r="G4" s="2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</row>
    <row r="5">
      <c r="A5" s="1" t="s">
        <v>52</v>
      </c>
      <c r="B5" s="3" t="s">
        <v>53</v>
      </c>
      <c r="C5" s="1" t="s">
        <v>54</v>
      </c>
      <c r="D5" s="1" t="s">
        <v>51</v>
      </c>
      <c r="E5" s="1">
        <v>104.0</v>
      </c>
      <c r="F5" s="1">
        <v>8.0</v>
      </c>
      <c r="G5" s="2">
        <v>0.0769230769230769</v>
      </c>
      <c r="H5" s="1">
        <v>0.0</v>
      </c>
      <c r="I5" s="1">
        <v>1.0</v>
      </c>
      <c r="J5" s="1">
        <v>1.0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6.0</v>
      </c>
      <c r="V5" s="1">
        <v>6.0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</row>
    <row r="6">
      <c r="A6" s="1" t="s">
        <v>55</v>
      </c>
      <c r="B6" s="3" t="s">
        <v>56</v>
      </c>
      <c r="C6" s="1" t="s">
        <v>57</v>
      </c>
      <c r="D6" s="1" t="s">
        <v>51</v>
      </c>
      <c r="E6" s="1">
        <v>412.0</v>
      </c>
      <c r="F6" s="1">
        <v>19.0</v>
      </c>
      <c r="G6" s="2">
        <v>0.0461165048543689</v>
      </c>
      <c r="H6" s="1">
        <v>0.0</v>
      </c>
      <c r="I6" s="1">
        <v>1.0</v>
      </c>
      <c r="J6" s="1">
        <v>4.0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14.0</v>
      </c>
      <c r="V6" s="1">
        <v>14.0</v>
      </c>
      <c r="W6" s="1" t="s">
        <v>44</v>
      </c>
      <c r="X6" s="1" t="s">
        <v>44</v>
      </c>
      <c r="Y6" s="1" t="s">
        <v>44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44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44</v>
      </c>
    </row>
    <row r="7">
      <c r="A7" s="1" t="s">
        <v>58</v>
      </c>
      <c r="B7" s="3" t="s">
        <v>59</v>
      </c>
      <c r="C7" s="1" t="s">
        <v>60</v>
      </c>
      <c r="D7" s="1" t="s">
        <v>61</v>
      </c>
      <c r="E7" s="1">
        <v>165.0</v>
      </c>
      <c r="F7" s="1">
        <v>18.0</v>
      </c>
      <c r="G7" s="2">
        <v>0.109090909090909</v>
      </c>
      <c r="H7" s="1">
        <v>1.0</v>
      </c>
      <c r="I7" s="1">
        <v>0.0</v>
      </c>
      <c r="J7" s="1">
        <v>1.0</v>
      </c>
      <c r="K7" s="1">
        <v>0.0</v>
      </c>
      <c r="L7" s="1">
        <v>0.0</v>
      </c>
      <c r="M7" s="1">
        <v>0.0</v>
      </c>
      <c r="N7" s="1">
        <v>3.0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13.0</v>
      </c>
      <c r="V7" s="1">
        <v>13.0</v>
      </c>
      <c r="W7" s="1" t="s">
        <v>44</v>
      </c>
      <c r="X7" s="1" t="s">
        <v>44</v>
      </c>
      <c r="Y7" s="1" t="s">
        <v>44</v>
      </c>
      <c r="Z7" s="1" t="s">
        <v>44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44</v>
      </c>
      <c r="AI7" s="1" t="s">
        <v>44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44</v>
      </c>
    </row>
    <row r="8">
      <c r="A8" s="1" t="s">
        <v>62</v>
      </c>
      <c r="B8" s="3" t="s">
        <v>63</v>
      </c>
      <c r="C8" s="1" t="s">
        <v>64</v>
      </c>
      <c r="D8" s="1" t="s">
        <v>61</v>
      </c>
      <c r="E8" s="1">
        <v>91.0</v>
      </c>
      <c r="F8" s="1">
        <v>8.0</v>
      </c>
      <c r="G8" s="2">
        <v>0.0879120879120879</v>
      </c>
      <c r="H8" s="1">
        <v>0.0</v>
      </c>
      <c r="I8" s="1">
        <v>1.0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7.0</v>
      </c>
      <c r="V8" s="1">
        <v>7.0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44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44</v>
      </c>
    </row>
    <row r="9">
      <c r="A9" s="1" t="s">
        <v>65</v>
      </c>
      <c r="B9" s="3" t="s">
        <v>66</v>
      </c>
      <c r="C9" s="1" t="s">
        <v>67</v>
      </c>
      <c r="D9" s="1" t="s">
        <v>61</v>
      </c>
      <c r="E9" s="1">
        <v>201.0</v>
      </c>
      <c r="F9" s="1">
        <v>5.0</v>
      </c>
      <c r="G9" s="2">
        <v>0.0248756218905472</v>
      </c>
      <c r="H9" s="1">
        <v>0.0</v>
      </c>
      <c r="I9" s="1">
        <v>1.0</v>
      </c>
      <c r="J9" s="1">
        <v>1.0</v>
      </c>
      <c r="K9" s="1">
        <v>1.0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</row>
    <row r="10">
      <c r="A10" s="1" t="s">
        <v>68</v>
      </c>
      <c r="B10" s="3" t="s">
        <v>69</v>
      </c>
      <c r="C10" s="1" t="s">
        <v>70</v>
      </c>
      <c r="D10" s="1" t="s">
        <v>71</v>
      </c>
      <c r="E10" s="1">
        <v>178.0</v>
      </c>
      <c r="F10" s="1">
        <v>11.0</v>
      </c>
      <c r="G10" s="2">
        <v>0.0617977528089887</v>
      </c>
      <c r="H10" s="1">
        <v>0.0</v>
      </c>
      <c r="I10" s="1">
        <v>0.0</v>
      </c>
      <c r="J10" s="1">
        <v>1.0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10.0</v>
      </c>
      <c r="V10" s="1">
        <v>10.0</v>
      </c>
      <c r="W10" s="1" t="s">
        <v>44</v>
      </c>
      <c r="X10" s="1" t="s">
        <v>44</v>
      </c>
      <c r="Y10" s="1" t="s">
        <v>44</v>
      </c>
      <c r="Z10" s="1" t="s">
        <v>44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44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</row>
    <row r="11">
      <c r="A11" s="1" t="s">
        <v>72</v>
      </c>
      <c r="B11" s="3" t="s">
        <v>73</v>
      </c>
      <c r="C11" s="1" t="s">
        <v>74</v>
      </c>
      <c r="D11" s="1" t="s">
        <v>71</v>
      </c>
      <c r="E11" s="1">
        <v>870.0</v>
      </c>
      <c r="F11" s="1">
        <v>55.0</v>
      </c>
      <c r="G11" s="2">
        <v>0.0632183908045977</v>
      </c>
      <c r="H11" s="1">
        <v>0.0</v>
      </c>
      <c r="I11" s="1">
        <v>1.0</v>
      </c>
      <c r="J11" s="1">
        <v>8.0</v>
      </c>
      <c r="K11" s="1">
        <v>4.0</v>
      </c>
      <c r="L11" s="1">
        <v>0.0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41.0</v>
      </c>
      <c r="V11" s="1">
        <v>41.0</v>
      </c>
      <c r="W11" s="1" t="s">
        <v>44</v>
      </c>
      <c r="X11" s="1" t="s">
        <v>44</v>
      </c>
      <c r="Y11" s="1" t="s">
        <v>44</v>
      </c>
      <c r="Z11" s="1" t="s">
        <v>44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44</v>
      </c>
      <c r="AH11" s="1" t="s">
        <v>44</v>
      </c>
      <c r="AI11" s="1" t="s">
        <v>44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44</v>
      </c>
    </row>
    <row r="12">
      <c r="A12" s="1" t="s">
        <v>75</v>
      </c>
      <c r="B12" s="3" t="s">
        <v>76</v>
      </c>
      <c r="C12" s="1" t="s">
        <v>77</v>
      </c>
      <c r="D12" s="1" t="s">
        <v>78</v>
      </c>
      <c r="E12" s="1">
        <v>186.0</v>
      </c>
      <c r="F12" s="1">
        <v>4.0</v>
      </c>
      <c r="G12" s="2">
        <v>0.021505376344086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4.0</v>
      </c>
      <c r="V12" s="1">
        <v>4.0</v>
      </c>
      <c r="W12" s="1" t="s">
        <v>44</v>
      </c>
      <c r="X12" s="1" t="s">
        <v>44</v>
      </c>
      <c r="Y12" s="1" t="s">
        <v>44</v>
      </c>
      <c r="Z12" s="1" t="s">
        <v>44</v>
      </c>
      <c r="AA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F12" s="1" t="s">
        <v>44</v>
      </c>
      <c r="AG12" s="1" t="s">
        <v>44</v>
      </c>
      <c r="AH12" s="1" t="s">
        <v>44</v>
      </c>
      <c r="AI12" s="1" t="s">
        <v>44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44</v>
      </c>
    </row>
    <row r="13">
      <c r="A13" s="1" t="s">
        <v>79</v>
      </c>
      <c r="B13" s="3" t="s">
        <v>80</v>
      </c>
      <c r="C13" s="1" t="s">
        <v>81</v>
      </c>
      <c r="D13" s="1" t="s">
        <v>78</v>
      </c>
      <c r="E13" s="1">
        <v>754.0</v>
      </c>
      <c r="F13" s="1">
        <v>21.0</v>
      </c>
      <c r="G13" s="2">
        <v>0.0278514588859416</v>
      </c>
      <c r="H13" s="1">
        <v>1.0</v>
      </c>
      <c r="I13" s="1">
        <v>1.0</v>
      </c>
      <c r="J13" s="1">
        <v>5.0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14.0</v>
      </c>
      <c r="V13" s="1">
        <v>14.0</v>
      </c>
      <c r="W13" s="1" t="s">
        <v>44</v>
      </c>
      <c r="X13" s="1" t="s">
        <v>44</v>
      </c>
      <c r="Y13" s="1" t="s">
        <v>44</v>
      </c>
      <c r="Z13" s="1" t="s">
        <v>44</v>
      </c>
      <c r="AA13" s="1" t="s">
        <v>44</v>
      </c>
      <c r="AB13" s="1" t="s">
        <v>44</v>
      </c>
      <c r="AC13" s="1" t="s">
        <v>44</v>
      </c>
      <c r="AD13" s="1" t="s">
        <v>44</v>
      </c>
      <c r="AE13" s="1" t="s">
        <v>44</v>
      </c>
      <c r="AF13" s="1" t="s">
        <v>44</v>
      </c>
      <c r="AG13" s="1" t="s">
        <v>44</v>
      </c>
      <c r="AH13" s="1" t="s">
        <v>44</v>
      </c>
      <c r="AI13" s="1" t="s">
        <v>44</v>
      </c>
      <c r="AJ13" s="1" t="s">
        <v>44</v>
      </c>
      <c r="AK13" s="1" t="s">
        <v>44</v>
      </c>
      <c r="AL13" s="1" t="s">
        <v>44</v>
      </c>
      <c r="AM13" s="1" t="s">
        <v>44</v>
      </c>
      <c r="AN13" s="1" t="s">
        <v>44</v>
      </c>
    </row>
    <row r="14">
      <c r="A14" s="1" t="s">
        <v>82</v>
      </c>
      <c r="B14" s="3" t="s">
        <v>83</v>
      </c>
      <c r="C14" s="1" t="s">
        <v>84</v>
      </c>
      <c r="D14" s="1" t="s">
        <v>85</v>
      </c>
      <c r="E14" s="1">
        <v>151.0</v>
      </c>
      <c r="F14" s="1">
        <v>9.0</v>
      </c>
      <c r="G14" s="2">
        <v>0.0596026490066225</v>
      </c>
      <c r="H14" s="1">
        <v>0.0</v>
      </c>
      <c r="I14" s="1">
        <v>0.0</v>
      </c>
      <c r="J14" s="1">
        <v>1.0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8.0</v>
      </c>
      <c r="V14" s="1">
        <v>8.0</v>
      </c>
      <c r="W14" s="1" t="s">
        <v>44</v>
      </c>
      <c r="X14" s="1" t="s">
        <v>44</v>
      </c>
      <c r="Y14" s="1" t="s">
        <v>44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G14" s="1" t="s">
        <v>44</v>
      </c>
      <c r="AH14" s="1" t="s">
        <v>44</v>
      </c>
      <c r="AI14" s="1" t="s">
        <v>44</v>
      </c>
      <c r="AJ14" s="1" t="s">
        <v>44</v>
      </c>
      <c r="AK14" s="1" t="s">
        <v>44</v>
      </c>
      <c r="AL14" s="1" t="s">
        <v>44</v>
      </c>
      <c r="AM14" s="1" t="s">
        <v>44</v>
      </c>
      <c r="AN14" s="1" t="s">
        <v>44</v>
      </c>
    </row>
    <row r="15">
      <c r="A15" s="1" t="s">
        <v>86</v>
      </c>
      <c r="B15" s="3" t="s">
        <v>87</v>
      </c>
      <c r="C15" s="1" t="s">
        <v>88</v>
      </c>
      <c r="D15" s="1" t="s">
        <v>85</v>
      </c>
      <c r="E15" s="1">
        <v>1448.0</v>
      </c>
      <c r="F15" s="1">
        <v>61.0</v>
      </c>
      <c r="G15" s="2">
        <v>0.0421270718232044</v>
      </c>
      <c r="H15" s="1">
        <v>0.0</v>
      </c>
      <c r="I15" s="1">
        <v>1.0</v>
      </c>
      <c r="J15" s="1">
        <v>12.0</v>
      </c>
      <c r="K15" s="1">
        <v>5.0</v>
      </c>
      <c r="L15" s="1">
        <v>0.0</v>
      </c>
      <c r="M15" s="1">
        <v>0.0</v>
      </c>
      <c r="N15" s="1">
        <v>1.0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42.0</v>
      </c>
      <c r="V15" s="1">
        <v>42.0</v>
      </c>
      <c r="W15" s="1" t="s">
        <v>44</v>
      </c>
      <c r="X15" s="1" t="s">
        <v>44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44</v>
      </c>
      <c r="AH15" s="1" t="s">
        <v>44</v>
      </c>
      <c r="AI15" s="1" t="s">
        <v>44</v>
      </c>
      <c r="AJ15" s="1" t="s">
        <v>44</v>
      </c>
      <c r="AK15" s="1" t="s">
        <v>44</v>
      </c>
      <c r="AL15" s="1" t="s">
        <v>44</v>
      </c>
      <c r="AM15" s="1" t="s">
        <v>44</v>
      </c>
      <c r="AN15" s="1" t="s">
        <v>44</v>
      </c>
    </row>
    <row r="16">
      <c r="E16" s="4">
        <f>AVERAGE(E2:E15)</f>
        <v>372.9285714</v>
      </c>
      <c r="F16" s="5">
        <f>SUM(F2:F15)</f>
        <v>246</v>
      </c>
      <c r="G16" s="6">
        <f>AVERAGE(G2:G15)</f>
        <v>0.05059469392</v>
      </c>
    </row>
    <row r="17">
      <c r="E17" s="5">
        <f>SUM(E2:E15)</f>
        <v>5221</v>
      </c>
      <c r="G17" s="6"/>
    </row>
    <row r="18">
      <c r="G18" s="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</worksheet>
</file>