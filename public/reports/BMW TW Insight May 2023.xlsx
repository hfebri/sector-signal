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_Content performance" sheetId="1" r:id="rId4"/>
  </sheets>
  <definedNames/>
  <calcPr/>
</workbook>
</file>

<file path=xl/sharedStrings.xml><?xml version="1.0" encoding="utf-8"?>
<sst xmlns="http://schemas.openxmlformats.org/spreadsheetml/2006/main" count="75" uniqueCount="39">
  <si>
    <t>sep=</t>
  </si>
  <si>
    <t>Network</t>
  </si>
  <si>
    <t>Page Name</t>
  </si>
  <si>
    <t>Published time (Asia/Jakarta)</t>
  </si>
  <si>
    <t>Post Type</t>
  </si>
  <si>
    <t>Placement</t>
  </si>
  <si>
    <t>Dark</t>
  </si>
  <si>
    <t>Promoted</t>
  </si>
  <si>
    <t>Reshare</t>
  </si>
  <si>
    <t>Post text</t>
  </si>
  <si>
    <t>Post URL</t>
  </si>
  <si>
    <t>Post ID</t>
  </si>
  <si>
    <t>Reach</t>
  </si>
  <si>
    <t>Engagements</t>
  </si>
  <si>
    <t>Clicks</t>
  </si>
  <si>
    <t>Engagement rate (reach)</t>
  </si>
  <si>
    <t>User follows</t>
  </si>
  <si>
    <t>Detail expands</t>
  </si>
  <si>
    <t>TWITTER</t>
  </si>
  <si>
    <t>BMW Indonesia</t>
  </si>
  <si>
    <t>IMAGE</t>
  </si>
  <si>
    <t>Timeline</t>
  </si>
  <si>
    <t>-</t>
  </si>
  <si>
    <t>No</t>
  </si>
  <si>
    <t>Embrace the joy of luxury driving with THE NEW 7. Let the sky be your horizon as you embark on unforgettable journeys.   Coming soon. https://t.co/pa1vknnZFM</t>
  </si>
  <si>
    <t>http://twitter.com/BMW_Indonesia/statuses/1661692429165264897</t>
  </si>
  <si>
    <t>1661692429165264897</t>
  </si>
  <si>
    <t>The BMW Exhibition has come to an end.   We appreciate you for sharing the JOY with us at Plaza Senayan this weekend.  Stay tuned on #BMWIndonesia's social media platforms for more updates on our upcoming events. https://t.co/LGsxLrAHlI</t>
  </si>
  <si>
    <t>http://twitter.com/BMW_Indonesia/statuses/1657743897945325573</t>
  </si>
  <si>
    <t>1657743897945325573</t>
  </si>
  <si>
    <t>Looking for a weekend experience? The #BMWExhibition at Main Atrium, Plaza Senayan is where you need to be!  Here are the 3 reasons👇🏻 [A Thread] https://t.co/guz3Ye1AT7</t>
  </si>
  <si>
    <t>http://twitter.com/BMW_Indonesia/statuses/1657326558686883840</t>
  </si>
  <si>
    <t>1657326558686883840</t>
  </si>
  <si>
    <t>Your must-visit weekend #BMWExhibition is back to Plaza Senayan.  Come over to see THE iX, THE 2 Gran Coupé, THE 3, THE 5, &amp;amp; THE X5 and test #DriveWithJoy.  Spend your weekend with #BMWIndonesia and enjoy our limited offers only at Main Atrium, Plaza Senayan, 12-14 May 2023. https://t.co/wz13StpPlf</t>
  </si>
  <si>
    <t>http://twitter.com/BMW_Indonesia/statuses/1656997174327250944</t>
  </si>
  <si>
    <t>1656997174327250944</t>
  </si>
  <si>
    <t>As the leader in Indonesia's Premium Electric Vehicle market, we're honored to be the official Sustainable Mobility Partner for the ASEAN Summit 2023 in Labuan Bajo. https://t.co/xPgBJcYCbx</t>
  </si>
  <si>
    <t>http://twitter.com/BMW_Indonesia/statuses/1656611642850045954</t>
  </si>
  <si>
    <t>1656611642850045954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</si>
</sst>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" xfId="0" applyFont="1" applyNumberFormat="1"/>
    <xf borderId="0" fillId="0" fontId="1" numFmtId="0" xfId="0" applyFont="1"/>
    <xf borderId="0" fillId="0" fontId="1" numFmtId="2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witter.com/BMW_Indonesia/statuses/1661692429165264897" TargetMode="External"/><Relationship Id="rId2" Type="http://schemas.openxmlformats.org/officeDocument/2006/relationships/hyperlink" Target="http://twitter.com/BMW_Indonesia/statuses/1657743897945325573" TargetMode="External"/><Relationship Id="rId3" Type="http://schemas.openxmlformats.org/officeDocument/2006/relationships/hyperlink" Target="http://twitter.com/BMW_Indonesia/statuses/1657326558686883840" TargetMode="External"/><Relationship Id="rId4" Type="http://schemas.openxmlformats.org/officeDocument/2006/relationships/hyperlink" Target="http://twitter.com/BMW_Indonesia/statuses/1656997174327250944" TargetMode="External"/><Relationship Id="rId5" Type="http://schemas.openxmlformats.org/officeDocument/2006/relationships/hyperlink" Target="http://twitter.com/BMW_Indonesia/statuses/1656611642850045954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>
      <c r="A3" s="1" t="s">
        <v>18</v>
      </c>
      <c r="B3" s="1" t="s">
        <v>19</v>
      </c>
      <c r="C3" s="2">
        <v>45071.760671296295</v>
      </c>
      <c r="D3" s="1" t="s">
        <v>20</v>
      </c>
      <c r="E3" s="1" t="s">
        <v>21</v>
      </c>
      <c r="F3" s="1" t="s">
        <v>22</v>
      </c>
      <c r="G3" s="1" t="s">
        <v>22</v>
      </c>
      <c r="H3" s="1" t="s">
        <v>23</v>
      </c>
      <c r="I3" s="1" t="s">
        <v>24</v>
      </c>
      <c r="J3" s="3" t="s">
        <v>25</v>
      </c>
      <c r="K3" s="1" t="s">
        <v>26</v>
      </c>
      <c r="L3" s="1">
        <v>182.0</v>
      </c>
      <c r="M3" s="1">
        <v>2.0</v>
      </c>
      <c r="N3" s="1">
        <v>13.0</v>
      </c>
      <c r="O3" s="1">
        <v>1.1</v>
      </c>
      <c r="P3" s="1" t="s">
        <v>22</v>
      </c>
      <c r="Q3" s="1">
        <v>1.0</v>
      </c>
    </row>
    <row r="4">
      <c r="A4" s="1" t="s">
        <v>18</v>
      </c>
      <c r="B4" s="1" t="s">
        <v>19</v>
      </c>
      <c r="C4" s="2">
        <v>45060.864803240744</v>
      </c>
      <c r="D4" s="1" t="s">
        <v>20</v>
      </c>
      <c r="E4" s="1" t="s">
        <v>21</v>
      </c>
      <c r="F4" s="1" t="s">
        <v>22</v>
      </c>
      <c r="G4" s="1" t="s">
        <v>22</v>
      </c>
      <c r="H4" s="1" t="s">
        <v>23</v>
      </c>
      <c r="I4" s="1" t="s">
        <v>27</v>
      </c>
      <c r="J4" s="3" t="s">
        <v>28</v>
      </c>
      <c r="K4" s="1" t="s">
        <v>29</v>
      </c>
      <c r="L4" s="1">
        <v>235.0</v>
      </c>
      <c r="M4" s="1">
        <v>3.0</v>
      </c>
      <c r="N4" s="1">
        <v>8.0</v>
      </c>
      <c r="O4" s="1">
        <v>1.28</v>
      </c>
      <c r="P4" s="1" t="s">
        <v>22</v>
      </c>
      <c r="Q4" s="1">
        <v>3.0</v>
      </c>
    </row>
    <row r="5">
      <c r="A5" s="1" t="s">
        <v>18</v>
      </c>
      <c r="B5" s="1" t="s">
        <v>19</v>
      </c>
      <c r="C5" s="2">
        <v>45059.713159722225</v>
      </c>
      <c r="D5" s="1" t="s">
        <v>20</v>
      </c>
      <c r="E5" s="1" t="s">
        <v>21</v>
      </c>
      <c r="F5" s="1" t="s">
        <v>22</v>
      </c>
      <c r="G5" s="1" t="s">
        <v>22</v>
      </c>
      <c r="H5" s="1" t="s">
        <v>23</v>
      </c>
      <c r="I5" s="1" t="s">
        <v>30</v>
      </c>
      <c r="J5" s="3" t="s">
        <v>31</v>
      </c>
      <c r="K5" s="1" t="s">
        <v>32</v>
      </c>
      <c r="L5" s="1">
        <v>320.0</v>
      </c>
      <c r="M5" s="1">
        <v>4.0</v>
      </c>
      <c r="N5" s="1">
        <v>8.0</v>
      </c>
      <c r="O5" s="1">
        <v>1.25</v>
      </c>
      <c r="P5" s="1" t="s">
        <v>22</v>
      </c>
      <c r="Q5" s="1">
        <v>5.0</v>
      </c>
    </row>
    <row r="6">
      <c r="A6" s="1" t="s">
        <v>18</v>
      </c>
      <c r="B6" s="1" t="s">
        <v>19</v>
      </c>
      <c r="C6" s="2">
        <v>45058.804236111115</v>
      </c>
      <c r="D6" s="1" t="s">
        <v>20</v>
      </c>
      <c r="E6" s="1" t="s">
        <v>21</v>
      </c>
      <c r="F6" s="1" t="s">
        <v>22</v>
      </c>
      <c r="G6" s="1" t="s">
        <v>22</v>
      </c>
      <c r="H6" s="1" t="s">
        <v>23</v>
      </c>
      <c r="I6" s="1" t="s">
        <v>33</v>
      </c>
      <c r="J6" s="3" t="s">
        <v>34</v>
      </c>
      <c r="K6" s="1" t="s">
        <v>35</v>
      </c>
      <c r="L6" s="1">
        <v>162.0</v>
      </c>
      <c r="M6" s="1">
        <v>2.0</v>
      </c>
      <c r="N6" s="1">
        <v>16.0</v>
      </c>
      <c r="O6" s="1">
        <v>1.23</v>
      </c>
      <c r="P6" s="1" t="s">
        <v>22</v>
      </c>
      <c r="Q6" s="1" t="s">
        <v>22</v>
      </c>
    </row>
    <row r="7">
      <c r="A7" s="1" t="s">
        <v>18</v>
      </c>
      <c r="B7" s="1" t="s">
        <v>19</v>
      </c>
      <c r="C7" s="2">
        <v>45057.74037037037</v>
      </c>
      <c r="D7" s="1" t="s">
        <v>20</v>
      </c>
      <c r="E7" s="1" t="s">
        <v>21</v>
      </c>
      <c r="F7" s="1" t="s">
        <v>22</v>
      </c>
      <c r="G7" s="1" t="s">
        <v>22</v>
      </c>
      <c r="H7" s="1" t="s">
        <v>23</v>
      </c>
      <c r="I7" s="1" t="s">
        <v>36</v>
      </c>
      <c r="J7" s="3" t="s">
        <v>37</v>
      </c>
      <c r="K7" s="1" t="s">
        <v>38</v>
      </c>
      <c r="L7" s="1">
        <v>284.0</v>
      </c>
      <c r="M7" s="1">
        <v>8.0</v>
      </c>
      <c r="N7" s="1">
        <v>15.0</v>
      </c>
      <c r="O7" s="1">
        <v>2.82</v>
      </c>
      <c r="P7" s="1" t="s">
        <v>22</v>
      </c>
      <c r="Q7" s="1" t="s">
        <v>22</v>
      </c>
    </row>
    <row r="8">
      <c r="L8" s="4">
        <f t="shared" ref="L8:M8" si="1">AVERAGE(L3:L7)</f>
        <v>236.6</v>
      </c>
      <c r="M8" s="5">
        <f t="shared" si="1"/>
        <v>3.8</v>
      </c>
      <c r="O8" s="6">
        <f>AVERAGE(O3:O7)</f>
        <v>1.536</v>
      </c>
    </row>
    <row r="10">
      <c r="K10" s="7">
        <f>17425/17350-1</f>
        <v>0.004322766571</v>
      </c>
    </row>
    <row r="12">
      <c r="J12" s="7">
        <f>237/520-1</f>
        <v>-0.5442307692</v>
      </c>
    </row>
    <row r="13">
      <c r="F13" s="7">
        <f>3243/1632-1</f>
        <v>0.9871323529</v>
      </c>
    </row>
    <row r="14">
      <c r="J14" s="7">
        <f>11500/11359-1</f>
        <v>0.01241306453</v>
      </c>
    </row>
    <row r="15">
      <c r="F15" s="7">
        <f>95/40-1</f>
        <v>1.375</v>
      </c>
      <c r="J15" s="5">
        <f>11500-11359</f>
        <v>141</v>
      </c>
    </row>
    <row r="16">
      <c r="J16" s="7">
        <f>8198/7819-1</f>
        <v>0.04847167157</v>
      </c>
    </row>
    <row r="17">
      <c r="J17" s="7">
        <f>11427/10646-1</f>
        <v>0.07336088672</v>
      </c>
    </row>
  </sheetData>
  <hyperlinks>
    <hyperlink r:id="rId1" ref="J3"/>
    <hyperlink r:id="rId2" ref="J4"/>
    <hyperlink r:id="rId3" ref="J5"/>
    <hyperlink r:id="rId4" ref="J6"/>
    <hyperlink r:id="rId5" ref="J7"/>
  </hyperlinks>
  <drawing r:id="rId6"/>
</worksheet>
</file>