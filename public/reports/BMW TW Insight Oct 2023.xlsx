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_activity_metrics_BMW_Indo" sheetId="1" r:id="rId4"/>
  </sheets>
  <definedNames/>
  <calcPr/>
</workbook>
</file>

<file path=xl/sharedStrings.xml><?xml version="1.0" encoding="utf-8"?>
<sst xmlns="http://schemas.openxmlformats.org/spreadsheetml/2006/main" count="524" uniqueCount="119">
  <si>
    <t>Tweet id</t>
  </si>
  <si>
    <t>Tweet permalink</t>
  </si>
  <si>
    <t>Tweet text</t>
  </si>
  <si>
    <t>time</t>
  </si>
  <si>
    <t>impressions</t>
  </si>
  <si>
    <t>engagements</t>
  </si>
  <si>
    <t>engagement rate</t>
  </si>
  <si>
    <t>retweets</t>
  </si>
  <si>
    <t>replies</t>
  </si>
  <si>
    <t>likes</t>
  </si>
  <si>
    <t>user profile clicks</t>
  </si>
  <si>
    <t>url clicks</t>
  </si>
  <si>
    <t>hashtag clicks</t>
  </si>
  <si>
    <t>detail expands</t>
  </si>
  <si>
    <t>permalink clicks</t>
  </si>
  <si>
    <t>app opens</t>
  </si>
  <si>
    <t>app installs</t>
  </si>
  <si>
    <t>follows</t>
  </si>
  <si>
    <t>email tweet</t>
  </si>
  <si>
    <t>dial phone</t>
  </si>
  <si>
    <t>media views</t>
  </si>
  <si>
    <t>media engagements</t>
  </si>
  <si>
    <t>promoted impressions</t>
  </si>
  <si>
    <t>promoted engagements</t>
  </si>
  <si>
    <t>promoted engagement rate</t>
  </si>
  <si>
    <t>promoted retweets</t>
  </si>
  <si>
    <t>promoted replies</t>
  </si>
  <si>
    <t>promoted likes</t>
  </si>
  <si>
    <t>promoted user profile clicks</t>
  </si>
  <si>
    <t>promoted url clicks</t>
  </si>
  <si>
    <t>promoted hashtag clicks</t>
  </si>
  <si>
    <t>promoted detail expands</t>
  </si>
  <si>
    <t>promoted permalink clicks</t>
  </si>
  <si>
    <t>promoted app opens</t>
  </si>
  <si>
    <t>promoted app installs</t>
  </si>
  <si>
    <t>promoted follows</t>
  </si>
  <si>
    <t>promoted email tweet</t>
  </si>
  <si>
    <t>promoted dial phone</t>
  </si>
  <si>
    <t>promoted media views</t>
  </si>
  <si>
    <t>promoted media engagements</t>
  </si>
  <si>
    <t>1717509070637445181</t>
  </si>
  <si>
    <t>https://twitter.com/BMW_Indonesia/status/1717509070637445181</t>
  </si>
  <si>
    <t>Test drive now #TheFutureofLuxury at the BMW i Exhibition on 1-5 November 2023.
For more details, contact your nearest BMW Authorized Dealer or visit https://t.co/T64tUXSJIp. https://t.co/4HfzrOu2aI</t>
  </si>
  <si>
    <t>2023-10-26 11:50 +0000</t>
  </si>
  <si>
    <t>-</t>
  </si>
  <si>
    <t>1717509059543507133</t>
  </si>
  <si>
    <t>https://twitter.com/BMW_Indonesia/status/1717509059543507133</t>
  </si>
  <si>
    <t>Step into the future of sustainable electric luxury with the ultra-wide 31.3” Theatre Screen in 8K resolution and Executive Lounge Seating beneath the Sky Lounge panoramic sunroof inside THE i7. 
#JOYisElectric #Thei7 https://t.co/kjJGZS1Bpp</t>
  </si>
  <si>
    <t>1717145488552845702</t>
  </si>
  <si>
    <t>https://twitter.com/BMW_Indonesia/status/1717145488552845702</t>
  </si>
  <si>
    <t>Test drive THE iX to experience the electrifying efficiency at the BMW Exhibition in Plaza Senayan on 1-5 November 2023. https://t.co/ZzJEBwWOC3</t>
  </si>
  <si>
    <t>2023-10-25 11:46 +0000</t>
  </si>
  <si>
    <t>1717145477073023338</t>
  </si>
  <si>
    <t>https://twitter.com/BMW_Indonesia/status/1717145477073023338</t>
  </si>
  <si>
    <t>Who said helping the environment is too time-consuming? 
Thankfully, THE iX's charging time 10-80% (150kW initially, DC fast-charging station), will only take you up to 31 minutes; faster than streaming your favorite series. https://t.co/bTKaDasZoc</t>
  </si>
  <si>
    <t>2023-10-25 11:45 +0000</t>
  </si>
  <si>
    <t>1716790850523684913</t>
  </si>
  <si>
    <t>https://twitter.com/BMW_Indonesia/status/1716790850523684913</t>
  </si>
  <si>
    <t>Feel the electrifying JOY of the BMW i Series – THE i7, THE iX, and THE i4. 
Enjoy our exclusive offers and get behind the wheel for a test drive, only at the BMW Exhibition, Main Atrium, Plaza Senayan.
Mark your calendar for November 1-5, 2023, and see you soon! https://t.co/SW3FuR1Q8L</t>
  </si>
  <si>
    <t>2023-10-24 12:16 +0000</t>
  </si>
  <si>
    <t>1716420352543502740</t>
  </si>
  <si>
    <t>https://twitter.com/BMW_Indonesia/status/1716420352543502740</t>
  </si>
  <si>
    <t>Find out more about BEC at https://t.co/T64tUXSJIp or contact your nearest BMW Authorized Dealer.</t>
  </si>
  <si>
    <t>2023-10-23 11:44 +0000</t>
  </si>
  <si>
    <t>1716420347623538828</t>
  </si>
  <si>
    <t>https://twitter.com/BMW_Indonesia/status/1716420347623538828</t>
  </si>
  <si>
    <t>Fulfill your finest travel experiences with the luxurious JOY, both in the air and on the ground. Get ready to savor unparalleled privileges as a member of the BMW Excellence Club with Garuda Indonesia. https://t.co/fgTlXD4ybJ</t>
  </si>
  <si>
    <t>1714258315369460214</t>
  </si>
  <si>
    <t>https://twitter.com/BMW_Indonesia/status/1714258315369460214</t>
  </si>
  <si>
    <t>To learn more about BMW Excellence Club, visit https://t.co/T64tUXSJIp or contact your nearest BMW Authorized Dealer.
*Terms and conditions apply.</t>
  </si>
  <si>
    <t>2023-10-17 12:33 +0000</t>
  </si>
  <si>
    <t>1714258311288340565</t>
  </si>
  <si>
    <t>https://twitter.com/BMW_Indonesia/status/1714258311288340565</t>
  </si>
  <si>
    <t>With BMW Excellence Club membership, you are entitled to a variety of privileges as well as services. Unlock the JOY of Samsung Premium VIP Access and enjoy a complimentary gift*. https://t.co/HVqU7t3LuA</t>
  </si>
  <si>
    <t>1713764444768231745</t>
  </si>
  <si>
    <t>https://twitter.com/BMW_Indonesia/status/1713764444768231745</t>
  </si>
  <si>
    <t>For more information on range of BMW cars, visit https://t.co/T64tUXSJIp or contact your nearest BMW Authorized Dealers.</t>
  </si>
  <si>
    <t>2023-10-16 03:50 +0000</t>
  </si>
  <si>
    <t>1713764441198838129</t>
  </si>
  <si>
    <t>https://twitter.com/BMW_Indonesia/status/1713764441198838129</t>
  </si>
  <si>
    <t>Last but not least, this season, The #BMWXMLabelRed becomes the prize for the best racer in MotoGP tournament.
BMW is on long strategic partnership with Dorna Sports, dates back until 1999 and BMW M is now entering its 25th season as ‘Official Partner of MotoGP’.</t>
  </si>
  <si>
    <t>1713764436555772060</t>
  </si>
  <si>
    <t>https://twitter.com/BMW_Indonesia/status/1713764436555772060</t>
  </si>
  <si>
    <t>Also, to strengthen its leadership in the premium electric vehicle segment in Indonesia, BMW has The #BMWi4eDrive40MSport as the Official Mobility Partner MGPA and The #BMWiXxDrive40Sport to lead MotoGP Riders Parade. https://t.co/12XhwscYOf</t>
  </si>
  <si>
    <t>1713764426321666458</t>
  </si>
  <si>
    <t>https://twitter.com/BMW_Indonesia/status/1713764426321666458</t>
  </si>
  <si>
    <t>BMW is back to support @motogp, at Pertamina Mandalika Circuit 13-15 October 2023, with the latest line up of safety cars @bmwm: The First-ever #BMWM3Touring and The new #BMWM2Coupé, as well as #BMWM5CS.
#BMWMSafetyCar #PertaminaGP2023 #BMWIndonesia https://t.co/BYd4rGaQXz</t>
  </si>
  <si>
    <t>1712687863169740843</t>
  </si>
  <si>
    <t>https://twitter.com/BMW_Indonesia/status/1712687863169740843</t>
  </si>
  <si>
    <t>These figures may not reflect real life driving results, which will depend upon a number of factors including the starting charge of the battery, accessories fitted (post-registration), variations in weather, driving styles and vehicle load.</t>
  </si>
  <si>
    <t>2023-10-13 04:33 +0000</t>
  </si>
  <si>
    <t>1712687860330233900</t>
  </si>
  <si>
    <t>https://twitter.com/BMW_Indonesia/status/1712687860330233900</t>
  </si>
  <si>
    <t>*The electric range shown was achieved using the WLTP procedure. Figures shown are for comparability purposes.</t>
  </si>
  <si>
    <t>1712687857230594526</t>
  </si>
  <si>
    <t>https://twitter.com/BMW_Indonesia/status/1712687857230594526</t>
  </si>
  <si>
    <t>Visit https://t.co/1ZBSjs20d2 or contact BMW Authorized Dealer to learn more about THE i7 and dive into the future of sustainable mobility.</t>
  </si>
  <si>
    <t>1712687854076535262</t>
  </si>
  <si>
    <t>https://twitter.com/BMW_Indonesia/status/1712687854076535262</t>
  </si>
  <si>
    <t>With an electric range of up to 625 km*, THE i7 ensures you can fully immerse yourself in this breathtaking destination without the need for frequent recharging.</t>
  </si>
  <si>
    <t>2023-10-13 04:32 +0000</t>
  </si>
  <si>
    <t>1712687849550864396</t>
  </si>
  <si>
    <t>https://twitter.com/BMW_Indonesia/status/1712687849550864396</t>
  </si>
  <si>
    <t>THE i7: The official sustainable mobility partner for the 1st Archipelagic and Island States (AIS) Forum Summit in Bali from 10-11 October 2023. https://t.co/HuGfIGRlpK</t>
  </si>
  <si>
    <t>1712666319957692886</t>
  </si>
  <si>
    <t>https://twitter.com/BMW_Indonesia/status/1712666319957692886</t>
  </si>
  <si>
    <t>Introducing THE NEW X5, brings thrills to every ride, empowering you to lead with unwavering confidence and authority.  It's a declaration of JOY in your journey toward excellence.
#BeTheBoss with THE NEW X5 and visit your nearest BMW authorized dealer to test drive. https://t.co/5JmtcNDHEb</t>
  </si>
  <si>
    <t>2023-10-13 03:07 +0000</t>
  </si>
  <si>
    <t>1712088038199943348</t>
  </si>
  <si>
    <t>https://twitter.com/BMW_Indonesia/status/1712088038199943348</t>
  </si>
  <si>
    <t>Guess who’s back?
#BeTheBoss https://t.co/rsOyQzopxR</t>
  </si>
  <si>
    <t>2023-10-11 12:49 +0000</t>
  </si>
  <si>
    <t>1712079525042081821</t>
  </si>
  <si>
    <t>https://twitter.com/BMW_Indonesia/status/1712079525042081821</t>
  </si>
  <si>
    <t>THE NEW X6, now available with BMW's 'Iconic Glow' kidney grille, adaptive LED headlights, the BMW Curved Display, and a new ambient light system, it truly makes a statement.
To find our more about THE NEW X6, contact your nearest BMW Authorized Dealer. https://t.co/eC8xIPyD3M</t>
  </si>
  <si>
    <t>2023-10-11 12:15 +0000</t>
  </si>
  <si>
    <t>1712079514430570906</t>
  </si>
  <si>
    <t>https://twitter.com/BMW_Indonesia/status/1712079514430570906</t>
  </si>
  <si>
    <t>A striking combination of an SAV and a coupe, designed to turn heads.
#UnleashTheBeast https://t.co/tqYfCiTUeK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</si>
</sst>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witter.com/BMW_Indonesia/status/1712088038199943348" TargetMode="External"/><Relationship Id="rId11" Type="http://schemas.openxmlformats.org/officeDocument/2006/relationships/hyperlink" Target="https://twitter.com/BMW_Indonesia/status/1713764441198838129" TargetMode="External"/><Relationship Id="rId22" Type="http://schemas.openxmlformats.org/officeDocument/2006/relationships/hyperlink" Target="https://twitter.com/BMW_Indonesia/status/1712079514430570906" TargetMode="External"/><Relationship Id="rId10" Type="http://schemas.openxmlformats.org/officeDocument/2006/relationships/hyperlink" Target="https://twitter.com/BMW_Indonesia/status/1713764444768231745" TargetMode="External"/><Relationship Id="rId21" Type="http://schemas.openxmlformats.org/officeDocument/2006/relationships/hyperlink" Target="https://twitter.com/BMW_Indonesia/status/1712079525042081821" TargetMode="External"/><Relationship Id="rId13" Type="http://schemas.openxmlformats.org/officeDocument/2006/relationships/hyperlink" Target="https://twitter.com/BMW_Indonesia/status/1713764426321666458" TargetMode="External"/><Relationship Id="rId12" Type="http://schemas.openxmlformats.org/officeDocument/2006/relationships/hyperlink" Target="https://twitter.com/BMW_Indonesia/status/1713764436555772060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twitter.com/BMW_Indonesia/status/1717509070637445181" TargetMode="External"/><Relationship Id="rId2" Type="http://schemas.openxmlformats.org/officeDocument/2006/relationships/hyperlink" Target="https://twitter.com/BMW_Indonesia/status/1717509059543507133" TargetMode="External"/><Relationship Id="rId3" Type="http://schemas.openxmlformats.org/officeDocument/2006/relationships/hyperlink" Target="https://twitter.com/BMW_Indonesia/status/1717145488552845702" TargetMode="External"/><Relationship Id="rId4" Type="http://schemas.openxmlformats.org/officeDocument/2006/relationships/hyperlink" Target="https://twitter.com/BMW_Indonesia/status/1717145477073023338" TargetMode="External"/><Relationship Id="rId9" Type="http://schemas.openxmlformats.org/officeDocument/2006/relationships/hyperlink" Target="https://twitter.com/BMW_Indonesia/status/1714258311288340565" TargetMode="External"/><Relationship Id="rId15" Type="http://schemas.openxmlformats.org/officeDocument/2006/relationships/hyperlink" Target="https://twitter.com/BMW_Indonesia/status/1712687860330233900" TargetMode="External"/><Relationship Id="rId14" Type="http://schemas.openxmlformats.org/officeDocument/2006/relationships/hyperlink" Target="https://twitter.com/BMW_Indonesia/status/1712687863169740843" TargetMode="External"/><Relationship Id="rId17" Type="http://schemas.openxmlformats.org/officeDocument/2006/relationships/hyperlink" Target="https://twitter.com/BMW_Indonesia/status/1712687854076535262" TargetMode="External"/><Relationship Id="rId16" Type="http://schemas.openxmlformats.org/officeDocument/2006/relationships/hyperlink" Target="https://twitter.com/BMW_Indonesia/status/1712687857230594526" TargetMode="External"/><Relationship Id="rId5" Type="http://schemas.openxmlformats.org/officeDocument/2006/relationships/hyperlink" Target="https://twitter.com/BMW_Indonesia/status/1716790850523684913" TargetMode="External"/><Relationship Id="rId19" Type="http://schemas.openxmlformats.org/officeDocument/2006/relationships/hyperlink" Target="https://twitter.com/BMW_Indonesia/status/1712666319957692886" TargetMode="External"/><Relationship Id="rId6" Type="http://schemas.openxmlformats.org/officeDocument/2006/relationships/hyperlink" Target="https://twitter.com/BMW_Indonesia/status/1716420352543502740" TargetMode="External"/><Relationship Id="rId18" Type="http://schemas.openxmlformats.org/officeDocument/2006/relationships/hyperlink" Target="https://twitter.com/BMW_Indonesia/status/1712687849550864396" TargetMode="External"/><Relationship Id="rId7" Type="http://schemas.openxmlformats.org/officeDocument/2006/relationships/hyperlink" Target="https://twitter.com/BMW_Indonesia/status/1716420347623538828" TargetMode="External"/><Relationship Id="rId8" Type="http://schemas.openxmlformats.org/officeDocument/2006/relationships/hyperlink" Target="https://twitter.com/BMW_Indonesia/status/17142583153694602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3" t="s">
        <v>41</v>
      </c>
      <c r="C2" s="1" t="s">
        <v>42</v>
      </c>
      <c r="D2" s="1" t="s">
        <v>43</v>
      </c>
      <c r="E2" s="1">
        <v>93.0</v>
      </c>
      <c r="F2" s="1">
        <v>2.0</v>
      </c>
      <c r="G2" s="2">
        <v>0.021505376344086</v>
      </c>
      <c r="H2" s="1">
        <v>0.0</v>
      </c>
      <c r="I2" s="1">
        <v>0.0</v>
      </c>
      <c r="J2" s="1">
        <v>1.0</v>
      </c>
      <c r="K2" s="1">
        <v>0.0</v>
      </c>
      <c r="L2" s="1">
        <v>1.0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</row>
    <row r="3">
      <c r="A3" s="1" t="s">
        <v>45</v>
      </c>
      <c r="B3" s="3" t="s">
        <v>46</v>
      </c>
      <c r="C3" s="1" t="s">
        <v>47</v>
      </c>
      <c r="D3" s="1" t="s">
        <v>43</v>
      </c>
      <c r="E3" s="1">
        <v>463.0</v>
      </c>
      <c r="F3" s="1">
        <v>20.0</v>
      </c>
      <c r="G3" s="2">
        <v>0.0431965442764578</v>
      </c>
      <c r="H3" s="1">
        <v>2.0</v>
      </c>
      <c r="I3" s="1">
        <v>2.0</v>
      </c>
      <c r="J3" s="1">
        <v>3.0</v>
      </c>
      <c r="K3" s="1">
        <v>3.0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10.0</v>
      </c>
      <c r="V3" s="1">
        <v>10.0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</row>
    <row r="4">
      <c r="A4" s="1" t="s">
        <v>48</v>
      </c>
      <c r="B4" s="3" t="s">
        <v>49</v>
      </c>
      <c r="C4" s="1" t="s">
        <v>50</v>
      </c>
      <c r="D4" s="1" t="s">
        <v>51</v>
      </c>
      <c r="E4" s="1">
        <v>95.0</v>
      </c>
      <c r="F4" s="1">
        <v>5.0</v>
      </c>
      <c r="G4" s="2">
        <v>0.0526315789473684</v>
      </c>
      <c r="H4" s="1">
        <v>0.0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4.0</v>
      </c>
      <c r="V4" s="1">
        <v>4.0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</row>
    <row r="5">
      <c r="A5" s="1" t="s">
        <v>52</v>
      </c>
      <c r="B5" s="3" t="s">
        <v>53</v>
      </c>
      <c r="C5" s="1" t="s">
        <v>54</v>
      </c>
      <c r="D5" s="1" t="s">
        <v>55</v>
      </c>
      <c r="E5" s="1">
        <v>354.0</v>
      </c>
      <c r="F5" s="1">
        <v>11.0</v>
      </c>
      <c r="G5" s="2">
        <v>0.0310734463276836</v>
      </c>
      <c r="H5" s="1">
        <v>0.0</v>
      </c>
      <c r="I5" s="1">
        <v>1.0</v>
      </c>
      <c r="J5" s="1">
        <v>3.0</v>
      </c>
      <c r="K5" s="1">
        <v>3.0</v>
      </c>
      <c r="L5" s="1">
        <v>0.0</v>
      </c>
      <c r="M5" s="1">
        <v>0.0</v>
      </c>
      <c r="N5" s="1">
        <v>2.0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2.0</v>
      </c>
      <c r="V5" s="1">
        <v>2.0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</row>
    <row r="6">
      <c r="A6" s="1" t="s">
        <v>56</v>
      </c>
      <c r="B6" s="3" t="s">
        <v>57</v>
      </c>
      <c r="C6" s="1" t="s">
        <v>58</v>
      </c>
      <c r="D6" s="1" t="s">
        <v>59</v>
      </c>
      <c r="E6" s="1">
        <v>479.0</v>
      </c>
      <c r="F6" s="1">
        <v>12.0</v>
      </c>
      <c r="G6" s="2">
        <v>0.0250521920668058</v>
      </c>
      <c r="H6" s="1">
        <v>0.0</v>
      </c>
      <c r="I6" s="1">
        <v>0.0</v>
      </c>
      <c r="J6" s="1">
        <v>5.0</v>
      </c>
      <c r="K6" s="1">
        <v>2.0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5.0</v>
      </c>
      <c r="V6" s="1">
        <v>5.0</v>
      </c>
      <c r="W6" s="1" t="s">
        <v>44</v>
      </c>
      <c r="X6" s="1" t="s">
        <v>44</v>
      </c>
      <c r="Y6" s="1" t="s">
        <v>44</v>
      </c>
      <c r="Z6" s="1" t="s">
        <v>44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F6" s="1" t="s">
        <v>44</v>
      </c>
      <c r="AG6" s="1" t="s">
        <v>44</v>
      </c>
      <c r="AH6" s="1" t="s">
        <v>44</v>
      </c>
      <c r="AI6" s="1" t="s">
        <v>44</v>
      </c>
      <c r="AJ6" s="1" t="s">
        <v>44</v>
      </c>
      <c r="AK6" s="1" t="s">
        <v>44</v>
      </c>
      <c r="AL6" s="1" t="s">
        <v>44</v>
      </c>
      <c r="AM6" s="1" t="s">
        <v>44</v>
      </c>
      <c r="AN6" s="1" t="s">
        <v>44</v>
      </c>
    </row>
    <row r="7">
      <c r="A7" s="1" t="s">
        <v>60</v>
      </c>
      <c r="B7" s="3" t="s">
        <v>61</v>
      </c>
      <c r="C7" s="1" t="s">
        <v>62</v>
      </c>
      <c r="D7" s="1" t="s">
        <v>63</v>
      </c>
      <c r="E7" s="1">
        <v>73.0</v>
      </c>
      <c r="F7" s="1">
        <v>2.0</v>
      </c>
      <c r="G7" s="2">
        <v>0.0273972602739726</v>
      </c>
      <c r="H7" s="1">
        <v>0.0</v>
      </c>
      <c r="I7" s="1">
        <v>0.0</v>
      </c>
      <c r="J7" s="1">
        <v>1.0</v>
      </c>
      <c r="K7" s="1">
        <v>1.0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 t="s">
        <v>44</v>
      </c>
      <c r="X7" s="1" t="s">
        <v>44</v>
      </c>
      <c r="Y7" s="1" t="s">
        <v>44</v>
      </c>
      <c r="Z7" s="1" t="s">
        <v>44</v>
      </c>
      <c r="AA7" s="1" t="s">
        <v>44</v>
      </c>
      <c r="AB7" s="1" t="s">
        <v>44</v>
      </c>
      <c r="AC7" s="1" t="s">
        <v>44</v>
      </c>
      <c r="AD7" s="1" t="s">
        <v>44</v>
      </c>
      <c r="AE7" s="1" t="s">
        <v>44</v>
      </c>
      <c r="AF7" s="1" t="s">
        <v>44</v>
      </c>
      <c r="AG7" s="1" t="s">
        <v>44</v>
      </c>
      <c r="AH7" s="1" t="s">
        <v>44</v>
      </c>
      <c r="AI7" s="1" t="s">
        <v>44</v>
      </c>
      <c r="AJ7" s="1" t="s">
        <v>44</v>
      </c>
      <c r="AK7" s="1" t="s">
        <v>44</v>
      </c>
      <c r="AL7" s="1" t="s">
        <v>44</v>
      </c>
      <c r="AM7" s="1" t="s">
        <v>44</v>
      </c>
      <c r="AN7" s="1" t="s">
        <v>44</v>
      </c>
    </row>
    <row r="8">
      <c r="A8" s="1" t="s">
        <v>64</v>
      </c>
      <c r="B8" s="3" t="s">
        <v>65</v>
      </c>
      <c r="C8" s="1" t="s">
        <v>66</v>
      </c>
      <c r="D8" s="1" t="s">
        <v>63</v>
      </c>
      <c r="E8" s="1">
        <v>298.0</v>
      </c>
      <c r="F8" s="1">
        <v>8.0</v>
      </c>
      <c r="G8" s="2">
        <v>0.0268456375838926</v>
      </c>
      <c r="H8" s="1">
        <v>0.0</v>
      </c>
      <c r="I8" s="1">
        <v>1.0</v>
      </c>
      <c r="J8" s="1">
        <v>4.0</v>
      </c>
      <c r="K8" s="1">
        <v>1.0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2.0</v>
      </c>
      <c r="V8" s="1">
        <v>2.0</v>
      </c>
      <c r="W8" s="1" t="s">
        <v>44</v>
      </c>
      <c r="X8" s="1" t="s">
        <v>44</v>
      </c>
      <c r="Y8" s="1" t="s">
        <v>44</v>
      </c>
      <c r="Z8" s="1" t="s">
        <v>44</v>
      </c>
      <c r="AA8" s="1" t="s">
        <v>44</v>
      </c>
      <c r="AB8" s="1" t="s">
        <v>44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44</v>
      </c>
      <c r="AH8" s="1" t="s">
        <v>44</v>
      </c>
      <c r="AI8" s="1" t="s">
        <v>44</v>
      </c>
      <c r="AJ8" s="1" t="s">
        <v>44</v>
      </c>
      <c r="AK8" s="1" t="s">
        <v>44</v>
      </c>
      <c r="AL8" s="1" t="s">
        <v>44</v>
      </c>
      <c r="AM8" s="1" t="s">
        <v>44</v>
      </c>
      <c r="AN8" s="1" t="s">
        <v>44</v>
      </c>
    </row>
    <row r="9">
      <c r="A9" s="1" t="s">
        <v>67</v>
      </c>
      <c r="B9" s="3" t="s">
        <v>68</v>
      </c>
      <c r="C9" s="1" t="s">
        <v>69</v>
      </c>
      <c r="D9" s="1" t="s">
        <v>70</v>
      </c>
      <c r="E9" s="1">
        <v>97.0</v>
      </c>
      <c r="F9" s="1">
        <v>1.0</v>
      </c>
      <c r="G9" s="2">
        <v>0.0103092783505154</v>
      </c>
      <c r="H9" s="1">
        <v>0.0</v>
      </c>
      <c r="I9" s="1">
        <v>0.0</v>
      </c>
      <c r="J9" s="1">
        <v>0.0</v>
      </c>
      <c r="K9" s="1">
        <v>0.0</v>
      </c>
      <c r="L9" s="1">
        <v>1.0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44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44</v>
      </c>
    </row>
    <row r="10">
      <c r="A10" s="1" t="s">
        <v>71</v>
      </c>
      <c r="B10" s="3" t="s">
        <v>72</v>
      </c>
      <c r="C10" s="1" t="s">
        <v>73</v>
      </c>
      <c r="D10" s="1" t="s">
        <v>70</v>
      </c>
      <c r="E10" s="1">
        <v>473.0</v>
      </c>
      <c r="F10" s="1">
        <v>17.0</v>
      </c>
      <c r="G10" s="2">
        <v>0.0359408033826638</v>
      </c>
      <c r="H10" s="1">
        <v>0.0</v>
      </c>
      <c r="I10" s="1">
        <v>1.0</v>
      </c>
      <c r="J10" s="1">
        <v>4.0</v>
      </c>
      <c r="K10" s="1">
        <v>1.0</v>
      </c>
      <c r="L10" s="1">
        <v>0.0</v>
      </c>
      <c r="M10" s="1">
        <v>0.0</v>
      </c>
      <c r="N10" s="1">
        <v>1.0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10.0</v>
      </c>
      <c r="V10" s="1">
        <v>10.0</v>
      </c>
      <c r="W10" s="1" t="s">
        <v>44</v>
      </c>
      <c r="X10" s="1" t="s">
        <v>44</v>
      </c>
      <c r="Y10" s="1" t="s">
        <v>44</v>
      </c>
      <c r="Z10" s="1" t="s">
        <v>44</v>
      </c>
      <c r="AA10" s="1" t="s">
        <v>44</v>
      </c>
      <c r="AB10" s="1" t="s">
        <v>44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44</v>
      </c>
      <c r="AH10" s="1" t="s">
        <v>44</v>
      </c>
      <c r="AI10" s="1" t="s">
        <v>44</v>
      </c>
      <c r="AJ10" s="1" t="s">
        <v>44</v>
      </c>
      <c r="AK10" s="1" t="s">
        <v>44</v>
      </c>
      <c r="AL10" s="1" t="s">
        <v>44</v>
      </c>
      <c r="AM10" s="1" t="s">
        <v>44</v>
      </c>
      <c r="AN10" s="1" t="s">
        <v>44</v>
      </c>
    </row>
    <row r="11">
      <c r="A11" s="1" t="s">
        <v>74</v>
      </c>
      <c r="B11" s="3" t="s">
        <v>75</v>
      </c>
      <c r="C11" s="1" t="s">
        <v>76</v>
      </c>
      <c r="D11" s="1" t="s">
        <v>77</v>
      </c>
      <c r="E11" s="1">
        <v>99.0</v>
      </c>
      <c r="F11" s="1">
        <v>3.0</v>
      </c>
      <c r="G11" s="2">
        <v>0.0303030303030303</v>
      </c>
      <c r="H11" s="1">
        <v>0.0</v>
      </c>
      <c r="I11" s="1">
        <v>0.0</v>
      </c>
      <c r="J11" s="1">
        <v>1.0</v>
      </c>
      <c r="K11" s="1">
        <v>0.0</v>
      </c>
      <c r="L11" s="1">
        <v>1.0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 t="s">
        <v>44</v>
      </c>
      <c r="X11" s="1" t="s">
        <v>44</v>
      </c>
      <c r="Y11" s="1" t="s">
        <v>44</v>
      </c>
      <c r="Z11" s="1" t="s">
        <v>44</v>
      </c>
      <c r="AA11" s="1" t="s">
        <v>44</v>
      </c>
      <c r="AB11" s="1" t="s">
        <v>44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44</v>
      </c>
      <c r="AH11" s="1" t="s">
        <v>44</v>
      </c>
      <c r="AI11" s="1" t="s">
        <v>44</v>
      </c>
      <c r="AJ11" s="1" t="s">
        <v>44</v>
      </c>
      <c r="AK11" s="1" t="s">
        <v>44</v>
      </c>
      <c r="AL11" s="1" t="s">
        <v>44</v>
      </c>
      <c r="AM11" s="1" t="s">
        <v>44</v>
      </c>
      <c r="AN11" s="1" t="s">
        <v>44</v>
      </c>
    </row>
    <row r="12">
      <c r="A12" s="1" t="s">
        <v>78</v>
      </c>
      <c r="B12" s="3" t="s">
        <v>79</v>
      </c>
      <c r="C12" s="1" t="s">
        <v>80</v>
      </c>
      <c r="D12" s="1" t="s">
        <v>77</v>
      </c>
      <c r="E12" s="1">
        <v>125.0</v>
      </c>
      <c r="F12" s="1">
        <v>2.0</v>
      </c>
      <c r="G12" s="2">
        <v>0.016</v>
      </c>
      <c r="H12" s="1">
        <v>0.0</v>
      </c>
      <c r="I12" s="1">
        <v>1.0</v>
      </c>
      <c r="J12" s="1">
        <v>1.0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 t="s">
        <v>44</v>
      </c>
      <c r="X12" s="1" t="s">
        <v>44</v>
      </c>
      <c r="Y12" s="1" t="s">
        <v>44</v>
      </c>
      <c r="Z12" s="1" t="s">
        <v>44</v>
      </c>
      <c r="AA12" s="1" t="s">
        <v>44</v>
      </c>
      <c r="AB12" s="1" t="s">
        <v>44</v>
      </c>
      <c r="AC12" s="1" t="s">
        <v>44</v>
      </c>
      <c r="AD12" s="1" t="s">
        <v>44</v>
      </c>
      <c r="AE12" s="1" t="s">
        <v>44</v>
      </c>
      <c r="AF12" s="1" t="s">
        <v>44</v>
      </c>
      <c r="AG12" s="1" t="s">
        <v>44</v>
      </c>
      <c r="AH12" s="1" t="s">
        <v>44</v>
      </c>
      <c r="AI12" s="1" t="s">
        <v>44</v>
      </c>
      <c r="AJ12" s="1" t="s">
        <v>44</v>
      </c>
      <c r="AK12" s="1" t="s">
        <v>44</v>
      </c>
      <c r="AL12" s="1" t="s">
        <v>44</v>
      </c>
      <c r="AM12" s="1" t="s">
        <v>44</v>
      </c>
      <c r="AN12" s="1" t="s">
        <v>44</v>
      </c>
    </row>
    <row r="13">
      <c r="A13" s="1" t="s">
        <v>81</v>
      </c>
      <c r="B13" s="3" t="s">
        <v>82</v>
      </c>
      <c r="C13" s="1" t="s">
        <v>83</v>
      </c>
      <c r="D13" s="1" t="s">
        <v>77</v>
      </c>
      <c r="E13" s="1">
        <v>58.0</v>
      </c>
      <c r="F13" s="1">
        <v>4.0</v>
      </c>
      <c r="G13" s="2">
        <v>0.0689655172413793</v>
      </c>
      <c r="H13" s="1">
        <v>0.0</v>
      </c>
      <c r="I13" s="1">
        <v>1.0</v>
      </c>
      <c r="J13" s="1">
        <v>1.0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2.0</v>
      </c>
      <c r="V13" s="1">
        <v>2.0</v>
      </c>
      <c r="W13" s="1" t="s">
        <v>44</v>
      </c>
      <c r="X13" s="1" t="s">
        <v>44</v>
      </c>
      <c r="Y13" s="1" t="s">
        <v>44</v>
      </c>
      <c r="Z13" s="1" t="s">
        <v>44</v>
      </c>
      <c r="AA13" s="1" t="s">
        <v>44</v>
      </c>
      <c r="AB13" s="1" t="s">
        <v>44</v>
      </c>
      <c r="AC13" s="1" t="s">
        <v>44</v>
      </c>
      <c r="AD13" s="1" t="s">
        <v>44</v>
      </c>
      <c r="AE13" s="1" t="s">
        <v>44</v>
      </c>
      <c r="AF13" s="1" t="s">
        <v>44</v>
      </c>
      <c r="AG13" s="1" t="s">
        <v>44</v>
      </c>
      <c r="AH13" s="1" t="s">
        <v>44</v>
      </c>
      <c r="AI13" s="1" t="s">
        <v>44</v>
      </c>
      <c r="AJ13" s="1" t="s">
        <v>44</v>
      </c>
      <c r="AK13" s="1" t="s">
        <v>44</v>
      </c>
      <c r="AL13" s="1" t="s">
        <v>44</v>
      </c>
      <c r="AM13" s="1" t="s">
        <v>44</v>
      </c>
      <c r="AN13" s="1" t="s">
        <v>44</v>
      </c>
    </row>
    <row r="14">
      <c r="A14" s="1" t="s">
        <v>84</v>
      </c>
      <c r="B14" s="3" t="s">
        <v>85</v>
      </c>
      <c r="C14" s="1" t="s">
        <v>86</v>
      </c>
      <c r="D14" s="1" t="s">
        <v>77</v>
      </c>
      <c r="E14" s="1">
        <v>639.0</v>
      </c>
      <c r="F14" s="1">
        <v>30.0</v>
      </c>
      <c r="G14" s="2">
        <v>0.0469483568075117</v>
      </c>
      <c r="H14" s="1">
        <v>1.0</v>
      </c>
      <c r="I14" s="1">
        <v>1.0</v>
      </c>
      <c r="J14" s="1">
        <v>8.0</v>
      </c>
      <c r="K14" s="1">
        <v>0.0</v>
      </c>
      <c r="L14" s="1">
        <v>0.0</v>
      </c>
      <c r="M14" s="1">
        <v>2.0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18.0</v>
      </c>
      <c r="V14" s="1">
        <v>18.0</v>
      </c>
      <c r="W14" s="1" t="s">
        <v>44</v>
      </c>
      <c r="X14" s="1" t="s">
        <v>44</v>
      </c>
      <c r="Y14" s="1" t="s">
        <v>44</v>
      </c>
      <c r="Z14" s="1" t="s">
        <v>44</v>
      </c>
      <c r="AA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F14" s="1" t="s">
        <v>44</v>
      </c>
      <c r="AG14" s="1" t="s">
        <v>44</v>
      </c>
      <c r="AH14" s="1" t="s">
        <v>44</v>
      </c>
      <c r="AI14" s="1" t="s">
        <v>44</v>
      </c>
      <c r="AJ14" s="1" t="s">
        <v>44</v>
      </c>
      <c r="AK14" s="1" t="s">
        <v>44</v>
      </c>
      <c r="AL14" s="1" t="s">
        <v>44</v>
      </c>
      <c r="AM14" s="1" t="s">
        <v>44</v>
      </c>
      <c r="AN14" s="1" t="s">
        <v>44</v>
      </c>
    </row>
    <row r="15">
      <c r="A15" s="1" t="s">
        <v>87</v>
      </c>
      <c r="B15" s="3" t="s">
        <v>88</v>
      </c>
      <c r="C15" s="1" t="s">
        <v>89</v>
      </c>
      <c r="D15" s="1" t="s">
        <v>90</v>
      </c>
      <c r="E15" s="1">
        <v>112.0</v>
      </c>
      <c r="F15" s="1">
        <v>1.0</v>
      </c>
      <c r="G15" s="2">
        <v>0.00892857142857142</v>
      </c>
      <c r="H15" s="1">
        <v>0.0</v>
      </c>
      <c r="I15" s="1">
        <v>0.0</v>
      </c>
      <c r="J15" s="1">
        <v>1.0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 t="s">
        <v>44</v>
      </c>
      <c r="X15" s="1" t="s">
        <v>44</v>
      </c>
      <c r="Y15" s="1" t="s">
        <v>44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F15" s="1" t="s">
        <v>44</v>
      </c>
      <c r="AG15" s="1" t="s">
        <v>44</v>
      </c>
      <c r="AH15" s="1" t="s">
        <v>44</v>
      </c>
      <c r="AI15" s="1" t="s">
        <v>44</v>
      </c>
      <c r="AJ15" s="1" t="s">
        <v>44</v>
      </c>
      <c r="AK15" s="1" t="s">
        <v>44</v>
      </c>
      <c r="AL15" s="1" t="s">
        <v>44</v>
      </c>
      <c r="AM15" s="1" t="s">
        <v>44</v>
      </c>
      <c r="AN15" s="1" t="s">
        <v>44</v>
      </c>
    </row>
    <row r="16">
      <c r="A16" s="1" t="s">
        <v>91</v>
      </c>
      <c r="B16" s="3" t="s">
        <v>92</v>
      </c>
      <c r="C16" s="1" t="s">
        <v>93</v>
      </c>
      <c r="D16" s="1" t="s">
        <v>90</v>
      </c>
      <c r="E16" s="1">
        <v>114.0</v>
      </c>
      <c r="F16" s="1">
        <v>2.0</v>
      </c>
      <c r="G16" s="2">
        <v>0.0175438596491228</v>
      </c>
      <c r="H16" s="1">
        <v>0.0</v>
      </c>
      <c r="I16" s="1">
        <v>1.0</v>
      </c>
      <c r="J16" s="1">
        <v>1.0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 t="s">
        <v>44</v>
      </c>
      <c r="X16" s="1" t="s">
        <v>44</v>
      </c>
      <c r="Y16" s="1" t="s">
        <v>44</v>
      </c>
      <c r="Z16" s="1" t="s">
        <v>44</v>
      </c>
      <c r="AA16" s="1" t="s">
        <v>44</v>
      </c>
      <c r="AB16" s="1" t="s">
        <v>44</v>
      </c>
      <c r="AC16" s="1" t="s">
        <v>44</v>
      </c>
      <c r="AD16" s="1" t="s">
        <v>44</v>
      </c>
      <c r="AE16" s="1" t="s">
        <v>44</v>
      </c>
      <c r="AF16" s="1" t="s">
        <v>44</v>
      </c>
      <c r="AG16" s="1" t="s">
        <v>44</v>
      </c>
      <c r="AH16" s="1" t="s">
        <v>44</v>
      </c>
      <c r="AI16" s="1" t="s">
        <v>44</v>
      </c>
      <c r="AJ16" s="1" t="s">
        <v>44</v>
      </c>
      <c r="AK16" s="1" t="s">
        <v>44</v>
      </c>
      <c r="AL16" s="1" t="s">
        <v>44</v>
      </c>
      <c r="AM16" s="1" t="s">
        <v>44</v>
      </c>
      <c r="AN16" s="1" t="s">
        <v>44</v>
      </c>
    </row>
    <row r="17">
      <c r="A17" s="1" t="s">
        <v>94</v>
      </c>
      <c r="B17" s="3" t="s">
        <v>95</v>
      </c>
      <c r="C17" s="1" t="s">
        <v>96</v>
      </c>
      <c r="D17" s="1" t="s">
        <v>90</v>
      </c>
      <c r="E17" s="1">
        <v>12.0</v>
      </c>
      <c r="F17" s="1">
        <v>1.0</v>
      </c>
      <c r="G17" s="2">
        <v>0.0833333333333333</v>
      </c>
      <c r="H17" s="1">
        <v>0.0</v>
      </c>
      <c r="I17" s="1">
        <v>1.0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 t="s">
        <v>44</v>
      </c>
      <c r="X17" s="1" t="s">
        <v>44</v>
      </c>
      <c r="Y17" s="1" t="s">
        <v>44</v>
      </c>
      <c r="Z17" s="1" t="s">
        <v>44</v>
      </c>
      <c r="AA17" s="1" t="s">
        <v>44</v>
      </c>
      <c r="AB17" s="1" t="s">
        <v>44</v>
      </c>
      <c r="AC17" s="1" t="s">
        <v>44</v>
      </c>
      <c r="AD17" s="1" t="s">
        <v>44</v>
      </c>
      <c r="AE17" s="1" t="s">
        <v>44</v>
      </c>
      <c r="AF17" s="1" t="s">
        <v>44</v>
      </c>
      <c r="AG17" s="1" t="s">
        <v>44</v>
      </c>
      <c r="AH17" s="1" t="s">
        <v>44</v>
      </c>
      <c r="AI17" s="1" t="s">
        <v>44</v>
      </c>
      <c r="AJ17" s="1" t="s">
        <v>44</v>
      </c>
      <c r="AK17" s="1" t="s">
        <v>44</v>
      </c>
      <c r="AL17" s="1" t="s">
        <v>44</v>
      </c>
      <c r="AM17" s="1" t="s">
        <v>44</v>
      </c>
      <c r="AN17" s="1" t="s">
        <v>44</v>
      </c>
    </row>
    <row r="18">
      <c r="A18" s="1" t="s">
        <v>97</v>
      </c>
      <c r="B18" s="3" t="s">
        <v>98</v>
      </c>
      <c r="C18" s="1" t="s">
        <v>99</v>
      </c>
      <c r="D18" s="1" t="s">
        <v>100</v>
      </c>
      <c r="E18" s="1">
        <v>5.0</v>
      </c>
      <c r="F18" s="1">
        <v>1.0</v>
      </c>
      <c r="G18" s="2">
        <v>0.2</v>
      </c>
      <c r="H18" s="1">
        <v>0.0</v>
      </c>
      <c r="I18" s="1">
        <v>1.0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 t="s">
        <v>44</v>
      </c>
      <c r="X18" s="1" t="s">
        <v>44</v>
      </c>
      <c r="Y18" s="1" t="s">
        <v>44</v>
      </c>
      <c r="Z18" s="1" t="s">
        <v>44</v>
      </c>
      <c r="AA18" s="1" t="s">
        <v>44</v>
      </c>
      <c r="AB18" s="1" t="s">
        <v>44</v>
      </c>
      <c r="AC18" s="1" t="s">
        <v>44</v>
      </c>
      <c r="AD18" s="1" t="s">
        <v>44</v>
      </c>
      <c r="AE18" s="1" t="s">
        <v>44</v>
      </c>
      <c r="AF18" s="1" t="s">
        <v>44</v>
      </c>
      <c r="AG18" s="1" t="s">
        <v>44</v>
      </c>
      <c r="AH18" s="1" t="s">
        <v>44</v>
      </c>
      <c r="AI18" s="1" t="s">
        <v>44</v>
      </c>
      <c r="AJ18" s="1" t="s">
        <v>44</v>
      </c>
      <c r="AK18" s="1" t="s">
        <v>44</v>
      </c>
      <c r="AL18" s="1" t="s">
        <v>44</v>
      </c>
      <c r="AM18" s="1" t="s">
        <v>44</v>
      </c>
      <c r="AN18" s="1" t="s">
        <v>44</v>
      </c>
    </row>
    <row r="19">
      <c r="A19" s="1" t="s">
        <v>101</v>
      </c>
      <c r="B19" s="3" t="s">
        <v>102</v>
      </c>
      <c r="C19" s="1" t="s">
        <v>103</v>
      </c>
      <c r="D19" s="1" t="s">
        <v>100</v>
      </c>
      <c r="E19" s="1">
        <v>399.0</v>
      </c>
      <c r="F19" s="1">
        <v>19.0</v>
      </c>
      <c r="G19" s="2">
        <v>0.0476190476190476</v>
      </c>
      <c r="H19" s="1">
        <v>0.0</v>
      </c>
      <c r="I19" s="1">
        <v>1.0</v>
      </c>
      <c r="J19" s="1">
        <v>5.0</v>
      </c>
      <c r="K19" s="1">
        <v>1.0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12.0</v>
      </c>
      <c r="V19" s="1">
        <v>12.0</v>
      </c>
      <c r="W19" s="1" t="s">
        <v>44</v>
      </c>
      <c r="X19" s="1" t="s">
        <v>44</v>
      </c>
      <c r="Y19" s="1" t="s">
        <v>44</v>
      </c>
      <c r="Z19" s="1" t="s">
        <v>44</v>
      </c>
      <c r="AA19" s="1" t="s">
        <v>44</v>
      </c>
      <c r="AB19" s="1" t="s">
        <v>44</v>
      </c>
      <c r="AC19" s="1" t="s">
        <v>44</v>
      </c>
      <c r="AD19" s="1" t="s">
        <v>44</v>
      </c>
      <c r="AE19" s="1" t="s">
        <v>44</v>
      </c>
      <c r="AF19" s="1" t="s">
        <v>44</v>
      </c>
      <c r="AG19" s="1" t="s">
        <v>44</v>
      </c>
      <c r="AH19" s="1" t="s">
        <v>44</v>
      </c>
      <c r="AI19" s="1" t="s">
        <v>44</v>
      </c>
      <c r="AJ19" s="1" t="s">
        <v>44</v>
      </c>
      <c r="AK19" s="1" t="s">
        <v>44</v>
      </c>
      <c r="AL19" s="1" t="s">
        <v>44</v>
      </c>
      <c r="AM19" s="1" t="s">
        <v>44</v>
      </c>
      <c r="AN19" s="1" t="s">
        <v>44</v>
      </c>
    </row>
    <row r="20">
      <c r="A20" s="1" t="s">
        <v>104</v>
      </c>
      <c r="B20" s="3" t="s">
        <v>105</v>
      </c>
      <c r="C20" s="1" t="s">
        <v>106</v>
      </c>
      <c r="D20" s="1" t="s">
        <v>107</v>
      </c>
      <c r="E20" s="1">
        <v>461.0</v>
      </c>
      <c r="F20" s="1">
        <v>44.0</v>
      </c>
      <c r="G20" s="2">
        <v>0.0954446854663774</v>
      </c>
      <c r="H20" s="1">
        <v>1.0</v>
      </c>
      <c r="I20" s="1">
        <v>0.0</v>
      </c>
      <c r="J20" s="1">
        <v>10.0</v>
      </c>
      <c r="K20" s="1">
        <v>3.0</v>
      </c>
      <c r="L20" s="1">
        <v>0.0</v>
      </c>
      <c r="M20" s="1">
        <v>0.0</v>
      </c>
      <c r="N20" s="1">
        <v>1.0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29.0</v>
      </c>
      <c r="V20" s="1">
        <v>29.0</v>
      </c>
      <c r="W20" s="1" t="s">
        <v>44</v>
      </c>
      <c r="X20" s="1" t="s">
        <v>44</v>
      </c>
      <c r="Y20" s="1" t="s">
        <v>44</v>
      </c>
      <c r="Z20" s="1" t="s">
        <v>44</v>
      </c>
      <c r="AA20" s="1" t="s">
        <v>44</v>
      </c>
      <c r="AB20" s="1" t="s">
        <v>44</v>
      </c>
      <c r="AC20" s="1" t="s">
        <v>44</v>
      </c>
      <c r="AD20" s="1" t="s">
        <v>44</v>
      </c>
      <c r="AE20" s="1" t="s">
        <v>44</v>
      </c>
      <c r="AF20" s="1" t="s">
        <v>44</v>
      </c>
      <c r="AG20" s="1" t="s">
        <v>44</v>
      </c>
      <c r="AH20" s="1" t="s">
        <v>44</v>
      </c>
      <c r="AI20" s="1" t="s">
        <v>44</v>
      </c>
      <c r="AJ20" s="1" t="s">
        <v>44</v>
      </c>
      <c r="AK20" s="1" t="s">
        <v>44</v>
      </c>
      <c r="AL20" s="1" t="s">
        <v>44</v>
      </c>
      <c r="AM20" s="1" t="s">
        <v>44</v>
      </c>
      <c r="AN20" s="1" t="s">
        <v>44</v>
      </c>
    </row>
    <row r="21">
      <c r="A21" s="1" t="s">
        <v>108</v>
      </c>
      <c r="B21" s="3" t="s">
        <v>109</v>
      </c>
      <c r="C21" s="1" t="s">
        <v>110</v>
      </c>
      <c r="D21" s="1" t="s">
        <v>111</v>
      </c>
      <c r="E21" s="1">
        <v>553.0</v>
      </c>
      <c r="F21" s="1">
        <v>70.0</v>
      </c>
      <c r="G21" s="2">
        <v>0.126582278481012</v>
      </c>
      <c r="H21" s="1">
        <v>0.0</v>
      </c>
      <c r="I21" s="1">
        <v>1.0</v>
      </c>
      <c r="J21" s="1">
        <v>6.0</v>
      </c>
      <c r="K21" s="1">
        <v>2.0</v>
      </c>
      <c r="L21" s="1">
        <v>0.0</v>
      </c>
      <c r="M21" s="1">
        <v>0.0</v>
      </c>
      <c r="N21" s="1">
        <v>4.0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115.0</v>
      </c>
      <c r="V21" s="1">
        <v>57.0</v>
      </c>
      <c r="W21" s="1" t="s">
        <v>44</v>
      </c>
      <c r="X21" s="1" t="s">
        <v>44</v>
      </c>
      <c r="Y21" s="1" t="s">
        <v>44</v>
      </c>
      <c r="Z21" s="1" t="s">
        <v>44</v>
      </c>
      <c r="AA21" s="1" t="s">
        <v>44</v>
      </c>
      <c r="AB21" s="1" t="s">
        <v>44</v>
      </c>
      <c r="AC21" s="1" t="s">
        <v>44</v>
      </c>
      <c r="AD21" s="1" t="s">
        <v>44</v>
      </c>
      <c r="AE21" s="1" t="s">
        <v>44</v>
      </c>
      <c r="AF21" s="1" t="s">
        <v>44</v>
      </c>
      <c r="AG21" s="1" t="s">
        <v>44</v>
      </c>
      <c r="AH21" s="1" t="s">
        <v>44</v>
      </c>
      <c r="AI21" s="1" t="s">
        <v>44</v>
      </c>
      <c r="AJ21" s="1" t="s">
        <v>44</v>
      </c>
      <c r="AK21" s="1" t="s">
        <v>44</v>
      </c>
      <c r="AL21" s="1" t="s">
        <v>44</v>
      </c>
      <c r="AM21" s="1" t="s">
        <v>44</v>
      </c>
      <c r="AN21" s="1" t="s">
        <v>44</v>
      </c>
    </row>
    <row r="22">
      <c r="A22" s="1" t="s">
        <v>112</v>
      </c>
      <c r="B22" s="3" t="s">
        <v>113</v>
      </c>
      <c r="C22" s="1" t="s">
        <v>114</v>
      </c>
      <c r="D22" s="1" t="s">
        <v>115</v>
      </c>
      <c r="E22" s="1">
        <v>133.0</v>
      </c>
      <c r="F22" s="1">
        <v>12.0</v>
      </c>
      <c r="G22" s="2">
        <v>0.0902255639097744</v>
      </c>
      <c r="H22" s="1">
        <v>0.0</v>
      </c>
      <c r="I22" s="1">
        <v>0.0</v>
      </c>
      <c r="J22" s="1">
        <v>2.0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10.0</v>
      </c>
      <c r="V22" s="1">
        <v>10.0</v>
      </c>
      <c r="W22" s="1" t="s">
        <v>44</v>
      </c>
      <c r="X22" s="1" t="s">
        <v>44</v>
      </c>
      <c r="Y22" s="1" t="s">
        <v>44</v>
      </c>
      <c r="Z22" s="1" t="s">
        <v>44</v>
      </c>
      <c r="AA22" s="1" t="s">
        <v>44</v>
      </c>
      <c r="AB22" s="1" t="s">
        <v>44</v>
      </c>
      <c r="AC22" s="1" t="s">
        <v>44</v>
      </c>
      <c r="AD22" s="1" t="s">
        <v>44</v>
      </c>
      <c r="AE22" s="1" t="s">
        <v>44</v>
      </c>
      <c r="AF22" s="1" t="s">
        <v>44</v>
      </c>
      <c r="AG22" s="1" t="s">
        <v>44</v>
      </c>
      <c r="AH22" s="1" t="s">
        <v>44</v>
      </c>
      <c r="AI22" s="1" t="s">
        <v>44</v>
      </c>
      <c r="AJ22" s="1" t="s">
        <v>44</v>
      </c>
      <c r="AK22" s="1" t="s">
        <v>44</v>
      </c>
      <c r="AL22" s="1" t="s">
        <v>44</v>
      </c>
      <c r="AM22" s="1" t="s">
        <v>44</v>
      </c>
      <c r="AN22" s="1" t="s">
        <v>44</v>
      </c>
    </row>
    <row r="23">
      <c r="A23" s="1" t="s">
        <v>116</v>
      </c>
      <c r="B23" s="3" t="s">
        <v>117</v>
      </c>
      <c r="C23" s="1" t="s">
        <v>118</v>
      </c>
      <c r="D23" s="1" t="s">
        <v>115</v>
      </c>
      <c r="E23" s="1">
        <v>565.0</v>
      </c>
      <c r="F23" s="1">
        <v>12.0</v>
      </c>
      <c r="G23" s="2">
        <v>0.0212389380530973</v>
      </c>
      <c r="H23" s="1">
        <v>0.0</v>
      </c>
      <c r="I23" s="1">
        <v>1.0</v>
      </c>
      <c r="J23" s="1">
        <v>5.0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6.0</v>
      </c>
      <c r="V23" s="1">
        <v>6.0</v>
      </c>
      <c r="W23" s="1" t="s">
        <v>44</v>
      </c>
      <c r="X23" s="1" t="s">
        <v>44</v>
      </c>
      <c r="Y23" s="1" t="s">
        <v>44</v>
      </c>
      <c r="Z23" s="1" t="s">
        <v>44</v>
      </c>
      <c r="AA23" s="1" t="s">
        <v>44</v>
      </c>
      <c r="AB23" s="1" t="s">
        <v>44</v>
      </c>
      <c r="AC23" s="1" t="s">
        <v>44</v>
      </c>
      <c r="AD23" s="1" t="s">
        <v>44</v>
      </c>
      <c r="AE23" s="1" t="s">
        <v>44</v>
      </c>
      <c r="AF23" s="1" t="s">
        <v>44</v>
      </c>
      <c r="AG23" s="1" t="s">
        <v>44</v>
      </c>
      <c r="AH23" s="1" t="s">
        <v>44</v>
      </c>
      <c r="AI23" s="1" t="s">
        <v>44</v>
      </c>
      <c r="AJ23" s="1" t="s">
        <v>44</v>
      </c>
      <c r="AK23" s="1" t="s">
        <v>44</v>
      </c>
      <c r="AL23" s="1" t="s">
        <v>44</v>
      </c>
      <c r="AM23" s="1" t="s">
        <v>44</v>
      </c>
      <c r="AN23" s="1" t="s">
        <v>44</v>
      </c>
    </row>
    <row r="24">
      <c r="E24" s="4">
        <f t="shared" ref="E24:F24" si="1">SUM(E2:E23)</f>
        <v>5700</v>
      </c>
      <c r="F24" s="4">
        <f t="shared" si="1"/>
        <v>279</v>
      </c>
      <c r="G24" s="5">
        <f>AVERAGE(G2:G23)</f>
        <v>0.05123114999</v>
      </c>
    </row>
    <row r="25">
      <c r="G25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