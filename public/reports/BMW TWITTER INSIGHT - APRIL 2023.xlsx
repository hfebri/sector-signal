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_Content performance" sheetId="1" r:id="rId4"/>
  </sheets>
  <definedNames/>
  <calcPr/>
</workbook>
</file>

<file path=xl/sharedStrings.xml><?xml version="1.0" encoding="utf-8"?>
<sst xmlns="http://schemas.openxmlformats.org/spreadsheetml/2006/main" count="76" uniqueCount="39">
  <si>
    <t>sep=</t>
  </si>
  <si>
    <t>Network</t>
  </si>
  <si>
    <t>Page Name</t>
  </si>
  <si>
    <t>Published time (Asia/Jakarta)</t>
  </si>
  <si>
    <t>Post Type</t>
  </si>
  <si>
    <t>Placement</t>
  </si>
  <si>
    <t>Dark</t>
  </si>
  <si>
    <t>Promoted</t>
  </si>
  <si>
    <t>Reshare</t>
  </si>
  <si>
    <t>Post text</t>
  </si>
  <si>
    <t>Post URL</t>
  </si>
  <si>
    <t>Post ID</t>
  </si>
  <si>
    <t>Reach</t>
  </si>
  <si>
    <t>Engagements</t>
  </si>
  <si>
    <t>Clicks</t>
  </si>
  <si>
    <t>Engagement rate (reach)</t>
  </si>
  <si>
    <t>User follows</t>
  </si>
  <si>
    <t>Detail expands</t>
  </si>
  <si>
    <t>TWITTER</t>
  </si>
  <si>
    <t>BMW Indonesia</t>
  </si>
  <si>
    <t>IMAGE</t>
  </si>
  <si>
    <t>Timeline</t>
  </si>
  <si>
    <t>-</t>
  </si>
  <si>
    <t>No</t>
  </si>
  <si>
    <t>Long-distance driving can be challenging.  Drive home with peace of mind. #WhateverHappens BMW Roadside Assistance will ensure your sheer driving pleasure.  BMW Roadside Assistance:  021 - 5088 0206 or 0 800 1269 269  #DrivenByJoy #BMWIndonesia #SheerDrivingPleasure https://t.co/847hATQdgS</t>
  </si>
  <si>
    <t>http://twitter.com/BMW_Indonesia/statuses/1648250070553198592</t>
  </si>
  <si>
    <t>1648250070553198592</t>
  </si>
  <si>
    <t>We are proud to announce that The BMW iX has been selected as the Sustainable Mobility Partner for KTT ASEAN 2023 in Labuan Bajo. https://t.co/JMJd63EJWH</t>
  </si>
  <si>
    <t>http://twitter.com/BMW_Indonesia/statuses/1646454729575395329</t>
  </si>
  <si>
    <t>1646454729575395329</t>
  </si>
  <si>
    <t>Unleash your inner speedster with the new BMW Z4 Roadster.   With a sharper appearance, M Sport seats, and a mesh design BMW kidney grille in Aluminium satinised, this fleet guarantees an exhilarating driving experience. https://t.co/bZrln1wpht</t>
  </si>
  <si>
    <t>http://twitter.com/BMW_Indonesia/statuses/1645354904842797058</t>
  </si>
  <si>
    <t>1645354904842797058</t>
  </si>
  <si>
    <t>Experience the perfect balance of sporty, elegant, and comfortable driving with The New 5 Touring.  Equipped with M Sport Pro package, The New 5 Touring is best known for, the boot. Not only is it spacious, it can carry up to 750kg. https://t.co/KQCLvfoteP</t>
  </si>
  <si>
    <t>http://twitter.com/BMW_Indonesia/statuses/1644278894487547909</t>
  </si>
  <si>
    <t>1644278894487547909</t>
  </si>
  <si>
    <t>Bold. Progressive. Superior. That’s how we shape the future of luxury.  Click https://t.co/2PhMWm2z4H to stay informed.  #TheNew7 #DrivenByJoy #BMWIndonesia #SheerDrivingPleasure https://t.co/Q7YEn8wUZE</t>
  </si>
  <si>
    <t>http://twitter.com/BMW_Indonesia/statuses/1643591261113450496</t>
  </si>
  <si>
    <t>1643591261113450496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</si>
</sst>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10" xfId="0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witter.com/BMW_Indonesia/statuses/1648250070553198592" TargetMode="External"/><Relationship Id="rId2" Type="http://schemas.openxmlformats.org/officeDocument/2006/relationships/hyperlink" Target="http://twitter.com/BMW_Indonesia/statuses/1646454729575395329" TargetMode="External"/><Relationship Id="rId3" Type="http://schemas.openxmlformats.org/officeDocument/2006/relationships/hyperlink" Target="http://twitter.com/BMW_Indonesia/statuses/1645354904842797058" TargetMode="External"/><Relationship Id="rId4" Type="http://schemas.openxmlformats.org/officeDocument/2006/relationships/hyperlink" Target="http://twitter.com/BMW_Indonesia/statuses/1644278894487547909" TargetMode="External"/><Relationship Id="rId5" Type="http://schemas.openxmlformats.org/officeDocument/2006/relationships/hyperlink" Target="http://twitter.com/BMW_Indonesia/statuses/1643591261113450496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</row>
    <row r="3">
      <c r="A3" s="1" t="s">
        <v>18</v>
      </c>
      <c r="B3" s="1" t="s">
        <v>19</v>
      </c>
      <c r="C3" s="2">
        <v>45034.6668287037</v>
      </c>
      <c r="D3" s="1" t="s">
        <v>20</v>
      </c>
      <c r="E3" s="1" t="s">
        <v>21</v>
      </c>
      <c r="F3" s="1" t="s">
        <v>22</v>
      </c>
      <c r="G3" s="1" t="s">
        <v>22</v>
      </c>
      <c r="H3" s="1" t="s">
        <v>23</v>
      </c>
      <c r="I3" s="1" t="s">
        <v>24</v>
      </c>
      <c r="J3" s="3" t="s">
        <v>25</v>
      </c>
      <c r="K3" s="1" t="s">
        <v>26</v>
      </c>
      <c r="L3" s="1">
        <v>289.0</v>
      </c>
      <c r="M3" s="1">
        <v>1.0</v>
      </c>
      <c r="N3" s="1">
        <v>6.0</v>
      </c>
      <c r="O3" s="1">
        <v>0.35</v>
      </c>
      <c r="P3" s="1" t="s">
        <v>22</v>
      </c>
      <c r="Q3" s="1">
        <v>4.0</v>
      </c>
    </row>
    <row r="4">
      <c r="A4" s="1" t="s">
        <v>18</v>
      </c>
      <c r="B4" s="1" t="s">
        <v>19</v>
      </c>
      <c r="C4" s="2">
        <v>45029.71262731482</v>
      </c>
      <c r="D4" s="1" t="s">
        <v>20</v>
      </c>
      <c r="E4" s="1" t="s">
        <v>21</v>
      </c>
      <c r="F4" s="1" t="s">
        <v>22</v>
      </c>
      <c r="G4" s="1" t="s">
        <v>22</v>
      </c>
      <c r="H4" s="1" t="s">
        <v>23</v>
      </c>
      <c r="I4" s="1" t="s">
        <v>27</v>
      </c>
      <c r="J4" s="3" t="s">
        <v>28</v>
      </c>
      <c r="K4" s="1" t="s">
        <v>29</v>
      </c>
      <c r="L4" s="1">
        <v>734.0</v>
      </c>
      <c r="M4" s="1">
        <v>7.0</v>
      </c>
      <c r="N4" s="1">
        <v>71.0</v>
      </c>
      <c r="O4" s="1">
        <v>0.95</v>
      </c>
      <c r="P4" s="1" t="s">
        <v>22</v>
      </c>
      <c r="Q4" s="1">
        <v>6.0</v>
      </c>
    </row>
    <row r="5">
      <c r="A5" s="1" t="s">
        <v>18</v>
      </c>
      <c r="B5" s="1" t="s">
        <v>19</v>
      </c>
      <c r="C5" s="2">
        <v>45026.67769675926</v>
      </c>
      <c r="D5" s="1" t="s">
        <v>20</v>
      </c>
      <c r="E5" s="1" t="s">
        <v>21</v>
      </c>
      <c r="F5" s="1" t="s">
        <v>22</v>
      </c>
      <c r="G5" s="1" t="s">
        <v>22</v>
      </c>
      <c r="H5" s="1" t="s">
        <v>23</v>
      </c>
      <c r="I5" s="1" t="s">
        <v>30</v>
      </c>
      <c r="J5" s="3" t="s">
        <v>31</v>
      </c>
      <c r="K5" s="1" t="s">
        <v>32</v>
      </c>
      <c r="L5" s="1">
        <v>572.0</v>
      </c>
      <c r="M5" s="1">
        <v>2.0</v>
      </c>
      <c r="N5" s="1">
        <v>25.0</v>
      </c>
      <c r="O5" s="1">
        <v>0.35</v>
      </c>
      <c r="P5" s="1" t="s">
        <v>22</v>
      </c>
      <c r="Q5" s="1" t="s">
        <v>22</v>
      </c>
    </row>
    <row r="6">
      <c r="A6" s="1" t="s">
        <v>18</v>
      </c>
      <c r="B6" s="1" t="s">
        <v>19</v>
      </c>
      <c r="C6" s="2">
        <v>45023.70847222222</v>
      </c>
      <c r="D6" s="1" t="s">
        <v>20</v>
      </c>
      <c r="E6" s="1" t="s">
        <v>21</v>
      </c>
      <c r="F6" s="1" t="s">
        <v>22</v>
      </c>
      <c r="G6" s="1" t="s">
        <v>22</v>
      </c>
      <c r="H6" s="1" t="s">
        <v>23</v>
      </c>
      <c r="I6" s="1" t="s">
        <v>33</v>
      </c>
      <c r="J6" s="3" t="s">
        <v>34</v>
      </c>
      <c r="K6" s="1" t="s">
        <v>35</v>
      </c>
      <c r="L6" s="1">
        <v>618.0</v>
      </c>
      <c r="M6" s="1">
        <v>6.0</v>
      </c>
      <c r="N6" s="1">
        <v>45.0</v>
      </c>
      <c r="O6" s="1">
        <v>0.97</v>
      </c>
      <c r="P6" s="1" t="s">
        <v>22</v>
      </c>
      <c r="Q6" s="1" t="s">
        <v>22</v>
      </c>
    </row>
    <row r="7">
      <c r="A7" s="1" t="s">
        <v>18</v>
      </c>
      <c r="B7" s="1" t="s">
        <v>19</v>
      </c>
      <c r="C7" s="2">
        <v>45021.810960648145</v>
      </c>
      <c r="D7" s="1" t="s">
        <v>20</v>
      </c>
      <c r="E7" s="1" t="s">
        <v>21</v>
      </c>
      <c r="F7" s="1" t="s">
        <v>22</v>
      </c>
      <c r="G7" s="1" t="s">
        <v>22</v>
      </c>
      <c r="H7" s="1" t="s">
        <v>23</v>
      </c>
      <c r="I7" s="1" t="s">
        <v>36</v>
      </c>
      <c r="J7" s="3" t="s">
        <v>37</v>
      </c>
      <c r="K7" s="1" t="s">
        <v>38</v>
      </c>
      <c r="L7" s="1">
        <v>388.0</v>
      </c>
      <c r="M7" s="1">
        <v>6.0</v>
      </c>
      <c r="N7" s="1">
        <v>3.0</v>
      </c>
      <c r="O7" s="1">
        <v>1.55</v>
      </c>
      <c r="P7" s="1" t="s">
        <v>22</v>
      </c>
      <c r="Q7" s="1" t="s">
        <v>22</v>
      </c>
    </row>
    <row r="8">
      <c r="L8" s="4">
        <f>AVERAGE(L3:L7)</f>
        <v>520.2</v>
      </c>
      <c r="O8" s="5">
        <f>AVERAGE(O3:O7)</f>
        <v>0.834</v>
      </c>
    </row>
    <row r="10">
      <c r="D10" s="6">
        <f t="shared" ref="D10:E10" si="1">17350/17303-1</f>
        <v>0.002716291972</v>
      </c>
      <c r="E10" s="6">
        <f t="shared" si="1"/>
        <v>0.002716291972</v>
      </c>
    </row>
    <row r="11">
      <c r="D11" s="6">
        <f>520/193-1</f>
        <v>1.694300518</v>
      </c>
      <c r="E11" s="7">
        <f>22/10-1</f>
        <v>1.2</v>
      </c>
    </row>
    <row r="12">
      <c r="D12" s="4">
        <f>1.37-0.83</f>
        <v>0.54</v>
      </c>
      <c r="E12" s="4">
        <f>1.37-0.85</f>
        <v>0.52</v>
      </c>
      <c r="H12" s="6">
        <f>11359/11300-1</f>
        <v>0.005221238938</v>
      </c>
      <c r="J12" s="6">
        <f>2247/2134-1</f>
        <v>0.05295220244</v>
      </c>
      <c r="L12" s="6">
        <f>17/387</f>
        <v>0.04392764858</v>
      </c>
    </row>
    <row r="13">
      <c r="E13" s="6">
        <f>520/193-1</f>
        <v>1.694300518</v>
      </c>
      <c r="H13" s="6">
        <f>10646/1466000-1</f>
        <v>-0.9927380628</v>
      </c>
      <c r="J13" s="6">
        <f>1632/2657-1</f>
        <v>-0.3857734287</v>
      </c>
    </row>
    <row r="14">
      <c r="J14" s="6">
        <f>40/15-1</f>
        <v>1.666666667</v>
      </c>
    </row>
  </sheetData>
  <hyperlinks>
    <hyperlink r:id="rId1" ref="J3"/>
    <hyperlink r:id="rId2" ref="J4"/>
    <hyperlink r:id="rId3" ref="J5"/>
    <hyperlink r:id="rId4" ref="J6"/>
    <hyperlink r:id="rId5" ref="J7"/>
  </hyperlinks>
  <drawing r:id="rId6"/>
</worksheet>
</file>