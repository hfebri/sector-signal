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3_Content performance" sheetId="1" r:id="rId4"/>
  </sheets>
  <definedNames/>
  <calcPr/>
</workbook>
</file>

<file path=xl/sharedStrings.xml><?xml version="1.0" encoding="utf-8"?>
<sst xmlns="http://schemas.openxmlformats.org/spreadsheetml/2006/main" count="55" uniqueCount="34">
  <si>
    <t>sep=</t>
  </si>
  <si>
    <t>Network</t>
  </si>
  <si>
    <t>Page Name</t>
  </si>
  <si>
    <t>Published time (Asia/Jakarta)</t>
  </si>
  <si>
    <t>Post Type</t>
  </si>
  <si>
    <t>Placement</t>
  </si>
  <si>
    <t>Dark</t>
  </si>
  <si>
    <t>Promoted</t>
  </si>
  <si>
    <t>Reshare</t>
  </si>
  <si>
    <t>Post text</t>
  </si>
  <si>
    <t>Post URL</t>
  </si>
  <si>
    <t>Post ID</t>
  </si>
  <si>
    <t>Reach</t>
  </si>
  <si>
    <t>Engagements</t>
  </si>
  <si>
    <t>Clicks</t>
  </si>
  <si>
    <t>Engagement rate (reach)</t>
  </si>
  <si>
    <t>User follows</t>
  </si>
  <si>
    <t>Detail expands</t>
  </si>
  <si>
    <t>TWITTER</t>
  </si>
  <si>
    <t>BMW Indonesia</t>
  </si>
  <si>
    <t>IMAGE</t>
  </si>
  <si>
    <t>Timeline</t>
  </si>
  <si>
    <t>-</t>
  </si>
  <si>
    <t>No</t>
  </si>
  <si>
    <t>Bringing ultimate luxurious entertainment on the road like never before. Coming soon.  Visit and register your interest at https://t.co/T64tUXSJIp. https://t.co/SZladm2OrS</t>
  </si>
  <si>
    <t>http://twitter.com/BMW_Indonesia/statuses/1636323978758459394</t>
  </si>
  <si>
    <t>1636323978758459394</t>
  </si>
  <si>
    <t>TEXT</t>
  </si>
  <si>
    <t>There are times when you have to put your dream on hold. But we’re telling you, now you can still have your things in order and get your dream BMW at the same time.</t>
  </si>
  <si>
    <t>http://twitter.com/BMW_Indonesia/statuses/1635961353579163651</t>
  </si>
  <si>
    <t>1635961353579163651</t>
  </si>
  <si>
    <t>THE 5 has everything you need to make every drive a joyful experience.  Come see and test drive THE 5 yourself at The BMW Exhibition, exclusive at Plaza Senayan Wing Area until March 5, 2023.  #BMWIndonesia #THE5 #DrivenByJoy #SheerDrivingPleasure https://t.co/9meiJqiUR8</t>
  </si>
  <si>
    <t>http://twitter.com/BMW_Indonesia/statuses/1632184189750525957</t>
  </si>
  <si>
    <t>1632184189750525957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</si>
</sst>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 xfId="0" applyFont="1" applyNumberFormat="1"/>
    <xf borderId="0" fillId="0" fontId="1" numFmtId="0" xfId="0" applyFont="1"/>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twitter.com/BMW_Indonesia/statuses/1636323978758459394" TargetMode="External"/><Relationship Id="rId2" Type="http://schemas.openxmlformats.org/officeDocument/2006/relationships/hyperlink" Target="http://twitter.com/BMW_Indonesia/statuses/1635961353579163651" TargetMode="External"/><Relationship Id="rId3" Type="http://schemas.openxmlformats.org/officeDocument/2006/relationships/hyperlink" Target="http://twitter.com/BMW_Indonesia/statuses/1632184189750525957"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row>
    <row r="3">
      <c r="A3" s="1" t="s">
        <v>18</v>
      </c>
      <c r="B3" s="1" t="s">
        <v>19</v>
      </c>
      <c r="C3" s="2">
        <v>45001.75708333333</v>
      </c>
      <c r="D3" s="1" t="s">
        <v>20</v>
      </c>
      <c r="E3" s="1" t="s">
        <v>21</v>
      </c>
      <c r="F3" s="1" t="s">
        <v>22</v>
      </c>
      <c r="G3" s="1" t="s">
        <v>22</v>
      </c>
      <c r="H3" s="1" t="s">
        <v>23</v>
      </c>
      <c r="I3" s="1" t="s">
        <v>24</v>
      </c>
      <c r="J3" s="3" t="s">
        <v>25</v>
      </c>
      <c r="K3" s="1" t="s">
        <v>26</v>
      </c>
      <c r="L3" s="1">
        <v>127.0</v>
      </c>
      <c r="M3" s="1">
        <v>1.0</v>
      </c>
      <c r="N3" s="1">
        <v>1.0</v>
      </c>
      <c r="O3" s="1">
        <v>0.79</v>
      </c>
      <c r="P3" s="1" t="s">
        <v>22</v>
      </c>
      <c r="Q3" s="1" t="s">
        <v>22</v>
      </c>
    </row>
    <row r="4">
      <c r="A4" s="1" t="s">
        <v>18</v>
      </c>
      <c r="B4" s="1" t="s">
        <v>19</v>
      </c>
      <c r="C4" s="2">
        <v>45000.75643518518</v>
      </c>
      <c r="D4" s="1" t="s">
        <v>27</v>
      </c>
      <c r="E4" s="1" t="s">
        <v>21</v>
      </c>
      <c r="F4" s="1" t="s">
        <v>22</v>
      </c>
      <c r="G4" s="1" t="s">
        <v>22</v>
      </c>
      <c r="H4" s="1" t="s">
        <v>23</v>
      </c>
      <c r="I4" s="1" t="s">
        <v>28</v>
      </c>
      <c r="J4" s="3" t="s">
        <v>29</v>
      </c>
      <c r="K4" s="1" t="s">
        <v>30</v>
      </c>
      <c r="L4" s="1">
        <v>153.0</v>
      </c>
      <c r="M4" s="1">
        <v>1.0</v>
      </c>
      <c r="N4" s="1" t="s">
        <v>22</v>
      </c>
      <c r="O4" s="1">
        <v>0.65</v>
      </c>
      <c r="P4" s="1" t="s">
        <v>22</v>
      </c>
      <c r="Q4" s="1" t="s">
        <v>22</v>
      </c>
    </row>
    <row r="5">
      <c r="A5" s="1" t="s">
        <v>18</v>
      </c>
      <c r="B5" s="1" t="s">
        <v>19</v>
      </c>
      <c r="C5" s="2">
        <v>44990.333449074074</v>
      </c>
      <c r="D5" s="1" t="s">
        <v>20</v>
      </c>
      <c r="E5" s="1" t="s">
        <v>21</v>
      </c>
      <c r="F5" s="1" t="s">
        <v>22</v>
      </c>
      <c r="G5" s="1" t="s">
        <v>22</v>
      </c>
      <c r="H5" s="1" t="s">
        <v>23</v>
      </c>
      <c r="I5" s="1" t="s">
        <v>31</v>
      </c>
      <c r="J5" s="3" t="s">
        <v>32</v>
      </c>
      <c r="K5" s="1" t="s">
        <v>33</v>
      </c>
      <c r="L5" s="1">
        <v>300.0</v>
      </c>
      <c r="M5" s="1">
        <v>8.0</v>
      </c>
      <c r="N5" s="1">
        <v>24.0</v>
      </c>
      <c r="O5" s="1">
        <v>2.67</v>
      </c>
      <c r="P5" s="1" t="s">
        <v>22</v>
      </c>
      <c r="Q5" s="1" t="s">
        <v>22</v>
      </c>
    </row>
    <row r="6">
      <c r="L6" s="4">
        <f>AVERAGE(L3:L5)</f>
        <v>193.3333333</v>
      </c>
      <c r="M6" s="5">
        <f>SUM(M3:M5)</f>
        <v>10</v>
      </c>
      <c r="O6" s="5">
        <f>AVERAGE(O3:O5)</f>
        <v>1.37</v>
      </c>
    </row>
    <row r="9">
      <c r="K9" s="6">
        <f>17303/17236-1</f>
        <v>0.00388721281</v>
      </c>
      <c r="M9" s="6">
        <f>24/10-1</f>
        <v>1.4</v>
      </c>
    </row>
    <row r="10">
      <c r="K10" s="6">
        <f>193/326-1</f>
        <v>-0.4079754601</v>
      </c>
    </row>
    <row r="14">
      <c r="N14" s="6">
        <f>11300/11245-1</f>
        <v>0.004891062695</v>
      </c>
    </row>
    <row r="16">
      <c r="N16" s="6">
        <f>1466953/847541-1</f>
        <v>0.7308342605</v>
      </c>
    </row>
  </sheetData>
  <hyperlinks>
    <hyperlink r:id="rId1" ref="J3"/>
    <hyperlink r:id="rId2" ref="J4"/>
    <hyperlink r:id="rId3" ref="J5"/>
  </hyperlinks>
  <drawing r:id="rId4"/>
</worksheet>
</file>